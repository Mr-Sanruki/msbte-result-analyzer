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 A " sheetId="1" r:id="rId4"/>
    <sheet state="visible" name="Format B " sheetId="2" r:id="rId5"/>
    <sheet state="visible" name="Topper  " sheetId="3" r:id="rId6"/>
    <sheet state="visible" name="subject wise" sheetId="4" r:id="rId7"/>
  </sheets>
  <definedNames/>
  <calcPr/>
</workbook>
</file>

<file path=xl/sharedStrings.xml><?xml version="1.0" encoding="utf-8"?>
<sst xmlns="http://schemas.openxmlformats.org/spreadsheetml/2006/main" count="346" uniqueCount="207">
  <si>
    <t>PROFORMA- A</t>
  </si>
  <si>
    <t>RESULT ANALYSIS</t>
  </si>
  <si>
    <r>
      <rPr>
        <rFont val="Times New Roman"/>
        <sz val="12.0"/>
      </rPr>
      <t xml:space="preserve">Name of Institute:-  </t>
    </r>
    <r>
      <rPr>
        <rFont val="Times New Roman"/>
        <b/>
        <sz val="12.0"/>
      </rPr>
      <t>Bharati Vidyapeeth Institute of Technology,Navi Mumbai(0027)</t>
    </r>
  </si>
  <si>
    <r>
      <rPr>
        <rFont val="Times New Roman"/>
        <sz val="12.0"/>
      </rPr>
      <t xml:space="preserve">Period of Exam.:- </t>
    </r>
    <r>
      <rPr>
        <rFont val="Times New Roman"/>
        <b/>
        <sz val="12.0"/>
      </rPr>
      <t xml:space="preserve"> WINTER -2025</t>
    </r>
  </si>
  <si>
    <r>
      <rPr>
        <rFont val="Times New Roman"/>
        <sz val="12.0"/>
      </rPr>
      <t>Date of Decleration of Result :-</t>
    </r>
    <r>
      <rPr>
        <rFont val="Times New Roman"/>
        <b/>
        <sz val="12.0"/>
      </rPr>
      <t>02/01/2026</t>
    </r>
  </si>
  <si>
    <r>
      <rPr>
        <rFont val="Times New Roman"/>
        <sz val="12.0"/>
      </rPr>
      <t>Date  of Submission of Result Analysis :-</t>
    </r>
    <r>
      <rPr>
        <rFont val="Times New Roman"/>
        <b/>
        <sz val="12.0"/>
      </rPr>
      <t>03/01/2026</t>
    </r>
  </si>
  <si>
    <t>Class/ Year                                                                                                                    (1)</t>
  </si>
  <si>
    <t>No. of Students registered for Exam                           (2)</t>
  </si>
  <si>
    <t>No. of students actually appeared                         (3)</t>
  </si>
  <si>
    <t xml:space="preserve">                No. of students passed</t>
  </si>
  <si>
    <t xml:space="preserve">Pass Without ATKT                 (8) =    (4+5+6+7)                      </t>
  </si>
  <si>
    <t>With ATKT                        (9)</t>
  </si>
  <si>
    <t>Total student passed   (10)    =(8+9)</t>
  </si>
  <si>
    <t>Total No. of student Failed</t>
  </si>
  <si>
    <t>Total passing %   without ATKT</t>
  </si>
  <si>
    <t>Total passing %   with ATKT</t>
  </si>
  <si>
    <t>1st class with Distinction                      (4)</t>
  </si>
  <si>
    <t>1st class                    (5)</t>
  </si>
  <si>
    <t>2nd class                                  (6)</t>
  </si>
  <si>
    <t>Pass class               (7)</t>
  </si>
  <si>
    <t>CM3I(SYCM-2)</t>
  </si>
  <si>
    <t>Total Students Appeared :-</t>
  </si>
  <si>
    <t>Total Students Passed :-</t>
  </si>
  <si>
    <t>Total % of Passing :-</t>
  </si>
  <si>
    <t xml:space="preserve">                Signature of HOD</t>
  </si>
  <si>
    <t>Signature of Principal</t>
  </si>
  <si>
    <t>COMPUTER TECHNOLOGY</t>
  </si>
  <si>
    <t>PROFORMA -B</t>
  </si>
  <si>
    <t xml:space="preserve">   RESULT ANALYSIS</t>
  </si>
  <si>
    <r>
      <rPr>
        <rFont val="Times New Roman"/>
        <sz val="12.0"/>
      </rPr>
      <t xml:space="preserve">Name of Institute:-      </t>
    </r>
    <r>
      <rPr>
        <rFont val="Times New Roman"/>
        <b/>
        <sz val="12.0"/>
      </rPr>
      <t>Bharati Vidyapeeth Institute of Technology,Navi Mumbai(0027)</t>
    </r>
  </si>
  <si>
    <r>
      <rPr>
        <rFont val="Times New Roman"/>
        <b/>
        <sz val="12.0"/>
      </rPr>
      <t>Instt. Code:</t>
    </r>
    <r>
      <rPr>
        <rFont val="Times New Roman"/>
        <sz val="12.0"/>
      </rPr>
      <t xml:space="preserve">- </t>
    </r>
  </si>
  <si>
    <t>0027</t>
  </si>
  <si>
    <t>Year &amp; Class    :-</t>
  </si>
  <si>
    <t>CM3K(SYCM-2)</t>
  </si>
  <si>
    <t xml:space="preserve">Semester   :- </t>
  </si>
  <si>
    <t>THIRD</t>
  </si>
  <si>
    <t xml:space="preserve">Period of Exam :-            </t>
  </si>
  <si>
    <t>WINTER-2025</t>
  </si>
  <si>
    <r>
      <rPr>
        <rFont val="Times New Roman"/>
        <sz val="12.0"/>
      </rPr>
      <t>Date of Decleration of Result:-</t>
    </r>
    <r>
      <rPr>
        <rFont val="Times New Roman"/>
        <b/>
        <sz val="12.0"/>
      </rPr>
      <t xml:space="preserve"> 02/01/2026</t>
    </r>
  </si>
  <si>
    <t xml:space="preserve">Department :- </t>
  </si>
  <si>
    <t>Computer Technology</t>
  </si>
  <si>
    <t>Sr. No.</t>
  </si>
  <si>
    <t>Name of Subject</t>
  </si>
  <si>
    <t>Actual no. of  students appeared</t>
  </si>
  <si>
    <t>Total no. of students passed</t>
  </si>
  <si>
    <t>1st class with Distinction</t>
  </si>
  <si>
    <t>1st class</t>
  </si>
  <si>
    <t xml:space="preserve">2nd class </t>
  </si>
  <si>
    <t>Pass class</t>
  </si>
  <si>
    <t>% of Passing</t>
  </si>
  <si>
    <t>Name of Teacher</t>
  </si>
  <si>
    <t>DSU</t>
  </si>
  <si>
    <t>Mrs.Pournima Kamble</t>
  </si>
  <si>
    <t>DMS</t>
  </si>
  <si>
    <t>Mr.Mohan Mali</t>
  </si>
  <si>
    <t>DTE</t>
  </si>
  <si>
    <t>Mr.Priyanka Khilari</t>
  </si>
  <si>
    <t>OOP</t>
  </si>
  <si>
    <t>Mr.Shilpa Jadhav</t>
  </si>
  <si>
    <t>Signature of HOD</t>
  </si>
  <si>
    <t>Bharati Vidyapeeth Institute of Technology,Navi Mumbai</t>
  </si>
  <si>
    <t xml:space="preserve"> Department of Computer Technology </t>
  </si>
  <si>
    <t>List of Toppers - ( Winter-2025)</t>
  </si>
  <si>
    <t>Semester :-CM3K(SYCM-2)</t>
  </si>
  <si>
    <t>Name of Student</t>
  </si>
  <si>
    <t>Total Marks</t>
  </si>
  <si>
    <t>Out of</t>
  </si>
  <si>
    <t>Percentage</t>
  </si>
  <si>
    <t>PATIL RAJ SANTOSH</t>
  </si>
  <si>
    <t xml:space="preserve">BHOSALE MITHALI YADUNATH </t>
  </si>
  <si>
    <t>JADHAV PURVA YUVRAJ</t>
  </si>
  <si>
    <t>PATIL CHANDANA SURYAKANT</t>
  </si>
  <si>
    <t>Computer Technology (Inter -2025 Subject Wise Marks)</t>
  </si>
  <si>
    <t>ROLL NO</t>
  </si>
  <si>
    <t>ENROLLMENT</t>
  </si>
  <si>
    <t>SEAT NO</t>
  </si>
  <si>
    <t>NAME</t>
  </si>
  <si>
    <t>MARKS</t>
  </si>
  <si>
    <t>TOTAL</t>
  </si>
  <si>
    <t>PERCENTAGE</t>
  </si>
  <si>
    <t>RESULT</t>
  </si>
  <si>
    <t>CGR</t>
  </si>
  <si>
    <t>EIC</t>
  </si>
  <si>
    <t>TH</t>
  </si>
  <si>
    <t>PR</t>
  </si>
  <si>
    <t>SLA</t>
  </si>
  <si>
    <t>FA-TH</t>
  </si>
  <si>
    <t>SA-TH</t>
  </si>
  <si>
    <t>Total</t>
  </si>
  <si>
    <t>FA-PR</t>
  </si>
  <si>
    <t>SA-PR</t>
  </si>
  <si>
    <t>FIRST CLASS WITH DISTINCTION</t>
  </si>
  <si>
    <t>PATIL DAKSHATA SAMEER</t>
  </si>
  <si>
    <t>FIRST CLASS</t>
  </si>
  <si>
    <t>YADAV VAISHNAVI SUNIL</t>
  </si>
  <si>
    <t>DETHE KRANTI AMARNATH</t>
  </si>
  <si>
    <t>RATHOD VAISHNAVI PRAMOD</t>
  </si>
  <si>
    <t>AB*</t>
  </si>
  <si>
    <t>15*</t>
  </si>
  <si>
    <t>12*</t>
  </si>
  <si>
    <t>FAIL</t>
  </si>
  <si>
    <t>PATIL AYUSH BHALCHANDRA</t>
  </si>
  <si>
    <t>14@</t>
  </si>
  <si>
    <t>SECOND CLASS CON</t>
  </si>
  <si>
    <t>KADAM SHRUSHTI SANJAY</t>
  </si>
  <si>
    <t>21*</t>
  </si>
  <si>
    <t>6*</t>
  </si>
  <si>
    <t>10*</t>
  </si>
  <si>
    <t>MANKAR PURVA KHANDU</t>
  </si>
  <si>
    <t>CHAUDHARI PRATHAMESH NARESH</t>
  </si>
  <si>
    <t>GORADE ADITI BALASAHEB</t>
  </si>
  <si>
    <t>7*</t>
  </si>
  <si>
    <t>22*</t>
  </si>
  <si>
    <t>GAJMAL VIGHNESH PRADEEP</t>
  </si>
  <si>
    <t>20*</t>
  </si>
  <si>
    <t>TANUSHREE VINAY CHUABEY</t>
  </si>
  <si>
    <t>18@</t>
  </si>
  <si>
    <t>SALUNKE SOHAM PRASHANT</t>
  </si>
  <si>
    <t>BORKAR KIMAYA VIRENDRA</t>
  </si>
  <si>
    <t>22@</t>
  </si>
  <si>
    <t>17@</t>
  </si>
  <si>
    <t>BALBALE AARIZ MOHD ALI</t>
  </si>
  <si>
    <t xml:space="preserve">SECOND CLASS </t>
  </si>
  <si>
    <t>GAWDE DNYANESHWARI KONDIBHAU</t>
  </si>
  <si>
    <t>KHOPADE SAKSHAM VIKAS</t>
  </si>
  <si>
    <t>DESALE SAHIL SANJAY</t>
  </si>
  <si>
    <t>DHOTRE ROSHAN ASHOK</t>
  </si>
  <si>
    <t>4*</t>
  </si>
  <si>
    <t>GAIKWAD TANMAY NARAYAN</t>
  </si>
  <si>
    <t>FIRST CLASS CON</t>
  </si>
  <si>
    <t>JADHAV VEDANT VIKRAM</t>
  </si>
  <si>
    <t>NAKHWA YUVRAJ SWAPNIL</t>
  </si>
  <si>
    <t>SONAWANE SUYASH SUBHASH</t>
  </si>
  <si>
    <t>24@</t>
  </si>
  <si>
    <t>KONDVILKAR OMKAR NITIN</t>
  </si>
  <si>
    <t>SARVADE HARSHVARDHAN RAVINDRA</t>
  </si>
  <si>
    <t>PASHTE SAMIKSHA HARICHANDRA</t>
  </si>
  <si>
    <t>19@</t>
  </si>
  <si>
    <t>KHANDARE RUTIKA JANARDAN</t>
  </si>
  <si>
    <t>PATIL KUNAL SUNIL</t>
  </si>
  <si>
    <t>23*</t>
  </si>
  <si>
    <t>A.T.K.T</t>
  </si>
  <si>
    <t>RASKAR PRAJWAL KANHU</t>
  </si>
  <si>
    <t>SECOND CLASS</t>
  </si>
  <si>
    <t>BANGAR SHREYA ANKUSH</t>
  </si>
  <si>
    <t xml:space="preserve">DESAI SALONI DHANAJI  </t>
  </si>
  <si>
    <t>TALEKAR MRUNMAYEE SANTOSH</t>
  </si>
  <si>
    <t>KHAN HANIYA MANSOOR</t>
  </si>
  <si>
    <t xml:space="preserve">HULE ALISHA MANGESH </t>
  </si>
  <si>
    <t>SHINDE ISHWARI DEEPAK</t>
  </si>
  <si>
    <t>THAKUR ARYAN GAJANAN</t>
  </si>
  <si>
    <t>18*</t>
  </si>
  <si>
    <t>17*</t>
  </si>
  <si>
    <t>SHAIKH MUHAMMAD AFFAN AVEZ</t>
  </si>
  <si>
    <t>KHARAT ADESH SANTOSH</t>
  </si>
  <si>
    <t>PAYKOLI KUSHAL BALKRISHNA</t>
  </si>
  <si>
    <t>RANE SARTHAK RUPESH</t>
  </si>
  <si>
    <t>PANSARE SHARVARI DEEPAK</t>
  </si>
  <si>
    <t xml:space="preserve">MORE SHRAVAN SANDEEP </t>
  </si>
  <si>
    <t>DESHMUKH SAYALI SURESH</t>
  </si>
  <si>
    <t>GORE RAMESH BABAN</t>
  </si>
  <si>
    <t>13*</t>
  </si>
  <si>
    <t>KALAMBE BHAGYASHREE SHANKAR</t>
  </si>
  <si>
    <t>SAKPAL SHREYA PRASAD</t>
  </si>
  <si>
    <t>DORUGADE SNEHAL VINAYAK</t>
  </si>
  <si>
    <t>NAVGHANE SANSKAR DATTATRAY</t>
  </si>
  <si>
    <t>MAMLUSKAR YUVRAJ RAVINDRA</t>
  </si>
  <si>
    <t>MANSUKH SANAVI SAMEER</t>
  </si>
  <si>
    <t>THORAT CHANDRAHAS GORAKSHANATH</t>
  </si>
  <si>
    <t>MISHRA ARPITA MANOJKUMAR</t>
  </si>
  <si>
    <t>09*</t>
  </si>
  <si>
    <t>BIRADAR YASH SHIVAJI</t>
  </si>
  <si>
    <t>PATIL ATHARVA SHEKHAR</t>
  </si>
  <si>
    <t>5*</t>
  </si>
  <si>
    <t>0*</t>
  </si>
  <si>
    <t>GORIVLE PRACHI MOHAN</t>
  </si>
  <si>
    <t>DETAINED</t>
  </si>
  <si>
    <t>AVHAD SHARAYU BABAN</t>
  </si>
  <si>
    <t xml:space="preserve">SINGH RISHABH RANJAN </t>
  </si>
  <si>
    <t>9*</t>
  </si>
  <si>
    <t>MANE ADITI YOGESH</t>
  </si>
  <si>
    <t>BHOSALE SHREYASH SHAILENDRA</t>
  </si>
  <si>
    <t>14*</t>
  </si>
  <si>
    <t>MHASKAR ADITYA NARENDRA</t>
  </si>
  <si>
    <t>GOLE ATHARVA TANAJI</t>
  </si>
  <si>
    <t>11*</t>
  </si>
  <si>
    <t>HUJARE HEET OMKAR</t>
  </si>
  <si>
    <t>CHAYNAKHAVA PARAS SARVANAND</t>
  </si>
  <si>
    <t>VIGHNESH JAYWANT PARAB</t>
  </si>
  <si>
    <t>HAJARE HEMANT EKNATH</t>
  </si>
  <si>
    <t>KHILARE SURAJ GAJANAN</t>
  </si>
  <si>
    <t>ABHANG SOHAM SHANKAR</t>
  </si>
  <si>
    <t>ASHISH SAMBHAJI SHINDE</t>
  </si>
  <si>
    <t>8*</t>
  </si>
  <si>
    <t>MORE VEDANT ANIL</t>
  </si>
  <si>
    <t>Distinction</t>
  </si>
  <si>
    <t>First Class</t>
  </si>
  <si>
    <t>Second  Class</t>
  </si>
  <si>
    <t>Pass Class</t>
  </si>
  <si>
    <t>12+4=16</t>
  </si>
  <si>
    <t>19+2=21</t>
  </si>
  <si>
    <t>20+3=23</t>
  </si>
  <si>
    <t>Fail</t>
  </si>
  <si>
    <t>9-1=8</t>
  </si>
  <si>
    <t>22-4-1=17</t>
  </si>
  <si>
    <t>19-2=17</t>
  </si>
  <si>
    <t>14-3=11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</si>
</sst>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0.0"/>
      <color rgb="FF000000"/>
      <name val="Arial"/>
      <scheme val="minor"/>
    </font>
    <font>
      <sz val="10.0"/>
      <color rgb="FF000000"/>
      <name val="Times New Roman"/>
    </font>
    <font>
      <b/>
      <sz val="12.0"/>
      <name val="Times New Roman"/>
    </font>
    <font>
      <b/>
      <u/>
      <sz val="16.0"/>
      <name val="Times New Roman"/>
    </font>
    <font>
      <sz val="12.0"/>
      <name val="Times New Roman"/>
    </font>
    <font>
      <sz val="8.0"/>
      <name val="Times New Roman"/>
    </font>
    <font>
      <sz val="10.0"/>
      <name val="Arial"/>
    </font>
    <font/>
    <font>
      <sz val="10.0"/>
      <name val="Times New Roman"/>
    </font>
    <font>
      <b/>
      <sz val="10.0"/>
      <name val="Times New Roman"/>
    </font>
    <font>
      <b/>
      <sz val="11.0"/>
      <name val="Times New Roman"/>
    </font>
    <font>
      <b/>
      <sz val="14.0"/>
      <name val="Times New Roman"/>
    </font>
    <font>
      <b/>
      <sz val="13.0"/>
      <name val="Times New Roman"/>
    </font>
    <font>
      <b/>
      <sz val="16.0"/>
      <name val="Times New Roman"/>
    </font>
    <font>
      <sz val="12.0"/>
      <name val="Calibri"/>
    </font>
    <font>
      <b/>
      <u/>
      <sz val="14.0"/>
      <name val="Times New Roman"/>
    </font>
    <font>
      <b/>
      <u/>
      <sz val="12.0"/>
      <name val="Times New Roman"/>
    </font>
    <font>
      <u/>
      <sz val="12.0"/>
      <name val="Times New Roman"/>
    </font>
    <font>
      <b/>
      <sz val="18.0"/>
      <color rgb="FF000000"/>
      <name val="Times New Roman"/>
    </font>
    <font>
      <sz val="10.0"/>
      <color rgb="FF000000"/>
      <name val="Calibri"/>
    </font>
    <font>
      <sz val="9.0"/>
      <name val="Times New Roman"/>
    </font>
    <font>
      <sz val="12.0"/>
      <color/>
      <name val="Times New Roman"/>
    </font>
    <font>
      <sz val="9.0"/>
      <name val="Arial"/>
    </font>
    <font>
      <b/>
      <sz val="16.0"/>
      <name val="Calibri"/>
    </font>
    <font>
      <b/>
      <sz val="14.0"/>
      <name val="Calibri"/>
    </font>
    <font>
      <b/>
      <sz val="12.0"/>
      <color/>
      <name val="Times New Roman"/>
    </font>
    <font>
      <sz val="11.0"/>
      <name val="Calibri"/>
    </font>
    <font>
      <u/>
      <sz val="10.0"/>
      <color/>
      <name val="Calibri"/>
    </font>
    <font>
      <u/>
      <sz val="10.0"/>
      <color/>
      <name val="Calibri"/>
    </font>
    <font>
      <u/>
      <sz val="10.0"/>
      <color/>
      <name val="Calibri"/>
    </font>
    <font>
      <sz val="10.0"/>
      <color rgb="FFFF0000"/>
      <name val="Arial"/>
    </font>
    <font>
      <sz val="10.0"/>
      <color rgb="FF0070C0"/>
      <name val="Arial"/>
    </font>
    <font>
      <sz val="10.0"/>
      <color rgb="FF7030A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5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Font="1"/>
    <xf borderId="0" fillId="0" fontId="2" numFmtId="0" xfId="0" applyAlignment="1" applyFont="1">
      <alignment horizontal="right"/>
    </xf>
    <xf borderId="0" fillId="0" fontId="4" numFmtId="0" xfId="0" applyAlignment="1" applyFont="1">
      <alignment horizontal="right"/>
    </xf>
    <xf borderId="0" fillId="0" fontId="5" numFmtId="0" xfId="0" applyAlignment="1" applyFont="1">
      <alignment horizontal="center"/>
    </xf>
    <xf borderId="0" fillId="0" fontId="6" numFmtId="0" xfId="0" applyFont="1"/>
    <xf borderId="0" fillId="0" fontId="4" numFmtId="14" xfId="0" applyFont="1" applyNumberFormat="1"/>
    <xf borderId="1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4" fillId="0" fontId="7" numFmtId="0" xfId="0" applyBorder="1" applyFont="1"/>
    <xf borderId="5" fillId="0" fontId="7" numFmtId="0" xfId="0" applyBorder="1" applyFont="1"/>
    <xf borderId="2" fillId="0" fontId="4" numFmtId="0" xfId="0" applyAlignment="1" applyBorder="1" applyFont="1">
      <alignment horizontal="left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7" fillId="0" fontId="7" numFmtId="0" xfId="0" applyBorder="1" applyFont="1"/>
    <xf borderId="8" fillId="0" fontId="7" numFmtId="0" xfId="0" applyBorder="1" applyFont="1"/>
    <xf borderId="9" fillId="0" fontId="4" numFmtId="0" xfId="0" applyAlignment="1" applyBorder="1" applyFont="1">
      <alignment horizontal="center" shrinkToFit="0" vertical="center" wrapText="1"/>
    </xf>
    <xf borderId="10" fillId="0" fontId="7" numFmtId="0" xfId="0" applyBorder="1" applyFont="1"/>
    <xf borderId="0" fillId="0" fontId="8" numFmtId="0" xfId="0" applyFont="1"/>
    <xf borderId="11" fillId="0" fontId="7" numFmtId="0" xfId="0" applyBorder="1" applyFont="1"/>
    <xf borderId="12" fillId="0" fontId="7" numFmtId="0" xfId="0" applyBorder="1" applyFont="1"/>
    <xf borderId="13" fillId="0" fontId="7" numFmtId="0" xfId="0" applyBorder="1" applyFont="1"/>
    <xf borderId="0" fillId="0" fontId="4" numFmtId="0" xfId="0" applyAlignment="1" applyFont="1">
      <alignment horizontal="center" shrinkToFit="0" vertical="top" wrapText="1"/>
    </xf>
    <xf borderId="11" fillId="0" fontId="4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shrinkToFit="0" vertical="center" wrapText="1"/>
    </xf>
    <xf borderId="12" fillId="0" fontId="4" numFmtId="10" xfId="0" applyAlignment="1" applyBorder="1" applyFont="1" applyNumberFormat="1">
      <alignment horizontal="center" vertical="center"/>
    </xf>
    <xf borderId="13" fillId="0" fontId="4" numFmtId="10" xfId="0" applyAlignment="1" applyBorder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right" vertical="center"/>
    </xf>
    <xf borderId="0" fillId="0" fontId="10" numFmtId="0" xfId="0" applyAlignment="1" applyFont="1">
      <alignment horizontal="center" vertical="center"/>
    </xf>
    <xf borderId="7" fillId="0" fontId="4" numFmtId="0" xfId="0" applyAlignment="1" applyBorder="1" applyFont="1">
      <alignment horizontal="left" vertical="center"/>
    </xf>
    <xf borderId="0" fillId="0" fontId="4" numFmtId="0" xfId="0" applyAlignment="1" applyFont="1">
      <alignment horizontal="center"/>
    </xf>
    <xf borderId="0" fillId="0" fontId="11" numFmtId="0" xfId="0" applyAlignment="1" applyFont="1">
      <alignment horizontal="right"/>
    </xf>
    <xf borderId="0" fillId="0" fontId="11" numFmtId="2" xfId="0" applyAlignment="1" applyFont="1" applyNumberFormat="1">
      <alignment horizontal="center"/>
    </xf>
    <xf borderId="14" fillId="0" fontId="2" numFmtId="10" xfId="0" applyAlignment="1" applyBorder="1" applyFont="1" applyNumberFormat="1">
      <alignment horizontal="center" vertical="center"/>
    </xf>
    <xf borderId="0" fillId="0" fontId="12" numFmtId="0" xfId="0" applyFont="1"/>
    <xf borderId="0" fillId="0" fontId="13" numFmtId="0" xfId="0" applyAlignment="1" applyFont="1">
      <alignment horizontal="center"/>
    </xf>
    <xf borderId="0" fillId="0" fontId="14" numFmtId="0" xfId="0" applyFont="1"/>
    <xf borderId="0" fillId="0" fontId="15" numFmtId="0" xfId="0" applyAlignment="1" applyFont="1">
      <alignment horizontal="center"/>
    </xf>
    <xf borderId="0" fillId="0" fontId="16" numFmtId="0" xfId="0" applyAlignment="1" applyFont="1">
      <alignment horizontal="center"/>
    </xf>
    <xf borderId="0" fillId="0" fontId="17" numFmtId="0" xfId="0" applyAlignment="1" applyFont="1">
      <alignment horizontal="center"/>
    </xf>
    <xf quotePrefix="1" borderId="0" fillId="0" fontId="4" numFmtId="0" xfId="0" applyFont="1"/>
    <xf borderId="14" fillId="0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15" fillId="0" fontId="4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horizontal="center" shrinkToFit="0" vertical="center" wrapText="1"/>
    </xf>
    <xf borderId="14" fillId="0" fontId="4" numFmtId="10" xfId="0" applyAlignment="1" applyBorder="1" applyFont="1" applyNumberFormat="1">
      <alignment horizontal="center" shrinkToFit="0" vertical="center" wrapText="1"/>
    </xf>
    <xf borderId="14" fillId="0" fontId="4" numFmtId="0" xfId="0" applyAlignment="1" applyBorder="1" applyFont="1">
      <alignment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center"/>
    </xf>
    <xf borderId="0" fillId="0" fontId="14" numFmtId="10" xfId="0" applyAlignment="1" applyFont="1" applyNumberFormat="1">
      <alignment horizontal="center" vertical="center"/>
    </xf>
    <xf borderId="0" fillId="0" fontId="14" numFmtId="0" xfId="0" applyAlignment="1" applyFont="1">
      <alignment horizontal="left" vertical="center"/>
    </xf>
    <xf borderId="0" fillId="0" fontId="14" numFmtId="0" xfId="0" applyAlignment="1" applyFont="1">
      <alignment horizontal="left" shrinkToFit="0" vertical="center" wrapText="1"/>
    </xf>
    <xf borderId="0" fillId="0" fontId="18" numFmtId="0" xfId="0" applyAlignment="1" applyFont="1">
      <alignment horizontal="center" vertical="center"/>
    </xf>
    <xf borderId="0" fillId="0" fontId="19" numFmtId="0" xfId="0" applyAlignment="1" applyFont="1">
      <alignment vertical="center"/>
    </xf>
    <xf borderId="0" fillId="0" fontId="11" numFmtId="0" xfId="0" applyAlignment="1" applyFont="1">
      <alignment horizontal="center" vertical="center"/>
    </xf>
    <xf borderId="0" fillId="0" fontId="20" numFmtId="0" xfId="0" applyFont="1"/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right" vertical="center"/>
    </xf>
    <xf borderId="14" fillId="0" fontId="21" numFmtId="0" xfId="0" applyAlignment="1" applyBorder="1" applyFont="1">
      <alignment horizontal="left" vertical="center"/>
    </xf>
    <xf borderId="14" fillId="0" fontId="8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vertical="center"/>
    </xf>
    <xf borderId="14" fillId="0" fontId="4" numFmtId="10" xfId="0" applyAlignment="1" applyBorder="1" applyFont="1" applyNumberFormat="1">
      <alignment horizontal="center" vertical="center"/>
    </xf>
    <xf borderId="16" fillId="0" fontId="21" numFmtId="0" xfId="0" applyAlignment="1" applyBorder="1" applyFont="1">
      <alignment horizontal="left" vertical="center"/>
    </xf>
    <xf borderId="0" fillId="0" fontId="22" numFmtId="0" xfId="0" applyFont="1"/>
    <xf borderId="17" fillId="0" fontId="23" numFmtId="0" xfId="0" applyAlignment="1" applyBorder="1" applyFont="1">
      <alignment horizontal="center" vertical="center"/>
    </xf>
    <xf borderId="17" fillId="0" fontId="7" numFmtId="0" xfId="0" applyBorder="1" applyFont="1"/>
    <xf borderId="9" fillId="0" fontId="24" numFmtId="0" xfId="0" applyAlignment="1" applyBorder="1" applyFont="1">
      <alignment horizontal="center" shrinkToFit="0" vertical="center" wrapText="1"/>
    </xf>
    <xf borderId="18" fillId="0" fontId="9" numFmtId="0" xfId="0" applyAlignment="1" applyBorder="1" applyFont="1">
      <alignment horizontal="center" shrinkToFit="0" vertical="center" wrapText="1"/>
    </xf>
    <xf borderId="19" fillId="0" fontId="7" numFmtId="0" xfId="0" applyBorder="1" applyFont="1"/>
    <xf borderId="0" fillId="0" fontId="6" numFmtId="0" xfId="0" applyAlignment="1" applyFont="1">
      <alignment horizontal="center" shrinkToFit="0" vertical="center" wrapText="1"/>
    </xf>
    <xf borderId="20" fillId="0" fontId="9" numFmtId="0" xfId="0" applyAlignment="1" applyBorder="1" applyFont="1">
      <alignment horizontal="center" shrinkToFit="0" vertical="center" wrapText="1"/>
    </xf>
    <xf borderId="21" fillId="0" fontId="7" numFmtId="0" xfId="0" applyBorder="1" applyFont="1"/>
    <xf borderId="22" fillId="0" fontId="9" numFmtId="0" xfId="0" applyAlignment="1" applyBorder="1" applyFont="1">
      <alignment horizontal="center" shrinkToFit="0" vertical="center" wrapText="1"/>
    </xf>
    <xf borderId="23" fillId="0" fontId="7" numFmtId="0" xfId="0" applyBorder="1" applyFont="1"/>
    <xf borderId="24" fillId="0" fontId="7" numFmtId="0" xfId="0" applyBorder="1" applyFont="1"/>
    <xf borderId="25" fillId="0" fontId="9" numFmtId="0" xfId="0" applyAlignment="1" applyBorder="1" applyFont="1">
      <alignment horizontal="center" vertical="center"/>
    </xf>
    <xf borderId="26" fillId="0" fontId="9" numFmtId="0" xfId="0" applyAlignment="1" applyBorder="1" applyFont="1">
      <alignment horizontal="center" shrinkToFit="0" vertical="center" wrapText="1"/>
    </xf>
    <xf borderId="27" fillId="0" fontId="7" numFmtId="0" xfId="0" applyBorder="1" applyFont="1"/>
    <xf borderId="28" fillId="0" fontId="7" numFmtId="0" xfId="0" applyBorder="1" applyFont="1"/>
    <xf borderId="15" fillId="0" fontId="9" numFmtId="0" xfId="0" applyAlignment="1" applyBorder="1" applyFont="1">
      <alignment horizontal="center" shrinkToFit="0" vertical="center" wrapText="1"/>
    </xf>
    <xf borderId="29" fillId="0" fontId="7" numFmtId="0" xfId="0" applyBorder="1" applyFont="1"/>
    <xf borderId="30" fillId="0" fontId="9" numFmtId="0" xfId="0" applyAlignment="1" applyBorder="1" applyFont="1">
      <alignment horizontal="center" shrinkToFit="0" vertical="center" wrapText="1"/>
    </xf>
    <xf borderId="31" fillId="0" fontId="9" numFmtId="0" xfId="0" applyAlignment="1" applyBorder="1" applyFont="1">
      <alignment horizontal="center" shrinkToFit="0" vertical="center" wrapText="1"/>
    </xf>
    <xf borderId="31" fillId="0" fontId="9" numFmtId="0" xfId="0" applyAlignment="1" applyBorder="1" applyFont="1">
      <alignment horizontal="center" vertical="center"/>
    </xf>
    <xf borderId="32" fillId="0" fontId="9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horizontal="center" vertical="center"/>
    </xf>
    <xf borderId="33" fillId="0" fontId="9" numFmtId="0" xfId="0" applyAlignment="1" applyBorder="1" applyFont="1">
      <alignment horizontal="center" shrinkToFit="0" vertical="center" wrapText="1"/>
    </xf>
    <xf borderId="34" fillId="0" fontId="7" numFmtId="0" xfId="0" applyBorder="1" applyFont="1"/>
    <xf borderId="35" fillId="0" fontId="9" numFmtId="0" xfId="0" applyAlignment="1" applyBorder="1" applyFont="1">
      <alignment vertical="center"/>
    </xf>
    <xf borderId="34" fillId="0" fontId="9" numFmtId="0" xfId="0" applyAlignment="1" applyBorder="1" applyFont="1">
      <alignment vertical="center"/>
    </xf>
    <xf borderId="14" fillId="0" fontId="9" numFmtId="0" xfId="0" applyAlignment="1" applyBorder="1" applyFont="1">
      <alignment horizontal="center" shrinkToFit="0" vertical="center" wrapText="1"/>
    </xf>
    <xf borderId="36" fillId="0" fontId="9" numFmtId="0" xfId="0" applyAlignment="1" applyBorder="1" applyFont="1">
      <alignment horizontal="center" shrinkToFit="0" vertical="center" wrapText="1"/>
    </xf>
    <xf borderId="37" fillId="0" fontId="9" numFmtId="0" xfId="0" applyAlignment="1" applyBorder="1" applyFont="1">
      <alignment horizontal="center" shrinkToFit="0" vertical="center" wrapText="1"/>
    </xf>
    <xf borderId="34" fillId="0" fontId="9" numFmtId="0" xfId="0" applyAlignment="1" applyBorder="1" applyFont="1">
      <alignment horizontal="center" shrinkToFit="0" vertical="center" wrapText="1"/>
    </xf>
    <xf borderId="38" fillId="0" fontId="7" numFmtId="0" xfId="0" applyBorder="1" applyFont="1"/>
    <xf borderId="37" fillId="0" fontId="9" numFmtId="0" xfId="0" applyAlignment="1" applyBorder="1" applyFont="1">
      <alignment vertical="center"/>
    </xf>
    <xf borderId="14" fillId="0" fontId="9" numFmtId="0" xfId="0" applyAlignment="1" applyBorder="1" applyFont="1">
      <alignment vertical="center"/>
    </xf>
    <xf borderId="39" fillId="0" fontId="7" numFmtId="0" xfId="0" applyBorder="1" applyFont="1"/>
    <xf borderId="40" fillId="0" fontId="7" numFmtId="0" xfId="0" applyBorder="1" applyFont="1"/>
    <xf borderId="28" fillId="0" fontId="2" numFmtId="0" xfId="0" applyAlignment="1" applyBorder="1" applyFont="1">
      <alignment horizontal="center" shrinkToFit="0" vertical="center" wrapText="1"/>
    </xf>
    <xf borderId="14" fillId="0" fontId="21" numFmtId="0" xfId="0" applyAlignment="1" applyBorder="1" applyFont="1">
      <alignment horizontal="center" vertical="center"/>
    </xf>
    <xf borderId="14" fillId="0" fontId="21" numFmtId="0" xfId="0" applyAlignment="1" applyBorder="1" applyFont="1">
      <alignment horizontal="center" shrinkToFit="0" vertical="center" wrapText="1"/>
    </xf>
    <xf borderId="14" fillId="0" fontId="25" numFmtId="0" xfId="0" applyAlignment="1" applyBorder="1" applyFont="1">
      <alignment horizontal="center" vertical="center"/>
    </xf>
    <xf borderId="37" fillId="0" fontId="26" numFmtId="0" xfId="0" applyAlignment="1" applyBorder="1" applyFont="1">
      <alignment horizontal="center" vertical="center"/>
    </xf>
    <xf borderId="14" fillId="0" fontId="6" numFmtId="0" xfId="0" applyAlignment="1" applyBorder="1" applyFont="1">
      <alignment horizontal="center" vertical="center"/>
    </xf>
    <xf borderId="36" fillId="0" fontId="6" numFmtId="0" xfId="0" applyAlignment="1" applyBorder="1" applyFont="1">
      <alignment horizontal="center" vertical="center"/>
    </xf>
    <xf borderId="37" fillId="0" fontId="6" numFmtId="0" xfId="0" applyAlignment="1" applyBorder="1" applyFont="1">
      <alignment horizontal="center" vertical="center"/>
    </xf>
    <xf borderId="35" fillId="0" fontId="6" numFmtId="0" xfId="0" applyAlignment="1" applyBorder="1" applyFont="1">
      <alignment horizontal="center" vertical="center"/>
    </xf>
    <xf borderId="34" fillId="0" fontId="6" numFmtId="0" xfId="0" applyAlignment="1" applyBorder="1" applyFont="1">
      <alignment horizontal="center" vertical="center"/>
    </xf>
    <xf borderId="39" fillId="0" fontId="6" numFmtId="0" xfId="0" applyAlignment="1" applyBorder="1" applyFont="1">
      <alignment horizontal="center" vertical="center"/>
    </xf>
    <xf borderId="41" fillId="0" fontId="6" numFmtId="0" xfId="0" applyAlignment="1" applyBorder="1" applyFont="1">
      <alignment horizontal="center" vertical="center"/>
    </xf>
    <xf borderId="28" fillId="0" fontId="6" numFmtId="0" xfId="0" applyAlignment="1" applyBorder="1" applyFont="1">
      <alignment horizontal="center" vertical="center"/>
    </xf>
    <xf borderId="14" fillId="0" fontId="6" numFmtId="2" xfId="0" applyAlignment="1" applyBorder="1" applyFont="1" applyNumberFormat="1">
      <alignment horizontal="center" vertical="center"/>
    </xf>
    <xf borderId="14" fillId="0" fontId="6" numFmtId="0" xfId="0" applyAlignment="1" applyBorder="1" applyFont="1">
      <alignment horizontal="left" vertical="center"/>
    </xf>
    <xf borderId="36" fillId="0" fontId="26" numFmtId="0" xfId="0" applyAlignment="1" applyBorder="1" applyFont="1">
      <alignment horizontal="center" vertical="center"/>
    </xf>
    <xf borderId="14" fillId="2" fontId="6" numFmtId="0" xfId="0" applyAlignment="1" applyBorder="1" applyFill="1" applyFont="1">
      <alignment horizontal="center" vertical="center"/>
    </xf>
    <xf borderId="14" fillId="0" fontId="27" numFmtId="0" xfId="0" applyAlignment="1" applyBorder="1" applyFont="1">
      <alignment horizontal="center" vertical="center"/>
    </xf>
    <xf borderId="16" fillId="0" fontId="21" numFmtId="0" xfId="0" applyAlignment="1" applyBorder="1" applyFont="1">
      <alignment horizontal="left"/>
    </xf>
    <xf borderId="42" fillId="0" fontId="6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center" vertical="center"/>
    </xf>
    <xf borderId="16" fillId="0" fontId="4" numFmtId="0" xfId="0" applyAlignment="1" applyBorder="1" applyFont="1">
      <alignment horizontal="left" vertical="center"/>
    </xf>
    <xf borderId="37" fillId="0" fontId="28" numFmtId="0" xfId="0" applyAlignment="1" applyBorder="1" applyFont="1">
      <alignment horizontal="center" vertical="center"/>
    </xf>
    <xf borderId="36" fillId="0" fontId="29" numFmtId="0" xfId="0" applyAlignment="1" applyBorder="1" applyFont="1">
      <alignment horizontal="center" vertical="center"/>
    </xf>
    <xf borderId="37" fillId="0" fontId="6" numFmtId="0" xfId="0" applyAlignment="1" applyBorder="1" applyFont="1">
      <alignment horizontal="center" vertical="center"/>
    </xf>
    <xf borderId="14" fillId="0" fontId="6" numFmtId="0" xfId="0" applyAlignment="1" applyBorder="1" applyFont="1">
      <alignment horizontal="center" vertical="center"/>
    </xf>
    <xf borderId="36" fillId="0" fontId="6" numFmtId="0" xfId="0" applyAlignment="1" applyBorder="1" applyFont="1">
      <alignment horizontal="center" vertical="center"/>
    </xf>
    <xf borderId="43" fillId="0" fontId="6" numFmtId="0" xfId="0" applyAlignment="1" applyBorder="1" applyFont="1">
      <alignment horizontal="center" vertical="center"/>
    </xf>
    <xf borderId="41" fillId="0" fontId="6" numFmtId="0" xfId="0" applyAlignment="1" applyBorder="1" applyFont="1">
      <alignment horizontal="center" vertical="center"/>
    </xf>
    <xf borderId="44" fillId="0" fontId="6" numFmtId="0" xfId="0" applyAlignment="1" applyBorder="1" applyFont="1">
      <alignment horizontal="center" vertical="center"/>
    </xf>
    <xf borderId="14" fillId="0" fontId="6" numFmtId="2" xfId="0" applyAlignment="1" applyBorder="1" applyFont="1" applyNumberFormat="1">
      <alignment horizontal="center" vertical="center"/>
    </xf>
    <xf borderId="14" fillId="0" fontId="6" numFmtId="0" xfId="0" applyAlignment="1" applyBorder="1" applyFont="1">
      <alignment horizontal="left" vertical="center"/>
    </xf>
    <xf borderId="45" fillId="0" fontId="6" numFmtId="0" xfId="0" applyBorder="1" applyFont="1"/>
    <xf borderId="14" fillId="3" fontId="21" numFmtId="0" xfId="0" applyAlignment="1" applyBorder="1" applyFill="1" applyFont="1">
      <alignment horizontal="center"/>
    </xf>
    <xf borderId="14" fillId="3" fontId="25" numFmtId="0" xfId="0" applyAlignment="1" applyBorder="1" applyFont="1">
      <alignment horizontal="center" vertical="center"/>
    </xf>
    <xf borderId="16" fillId="3" fontId="21" numFmtId="0" xfId="0" applyAlignment="1" applyBorder="1" applyFont="1">
      <alignment horizontal="left"/>
    </xf>
    <xf borderId="37" fillId="3" fontId="6" numFmtId="0" xfId="0" applyAlignment="1" applyBorder="1" applyFont="1">
      <alignment horizontal="center" vertical="center"/>
    </xf>
    <xf borderId="14" fillId="3" fontId="6" numFmtId="0" xfId="0" applyAlignment="1" applyBorder="1" applyFont="1">
      <alignment horizontal="center" vertical="center"/>
    </xf>
    <xf borderId="36" fillId="3" fontId="6" numFmtId="0" xfId="0" applyAlignment="1" applyBorder="1" applyFont="1">
      <alignment horizontal="center" vertical="center"/>
    </xf>
    <xf borderId="43" fillId="3" fontId="6" numFmtId="0" xfId="0" applyAlignment="1" applyBorder="1" applyFont="1">
      <alignment horizontal="center" vertical="center"/>
    </xf>
    <xf borderId="41" fillId="3" fontId="6" numFmtId="0" xfId="0" applyAlignment="1" applyBorder="1" applyFont="1">
      <alignment horizontal="center" vertical="center"/>
    </xf>
    <xf borderId="44" fillId="3" fontId="6" numFmtId="0" xfId="0" applyAlignment="1" applyBorder="1" applyFont="1">
      <alignment horizontal="center" vertical="center"/>
    </xf>
    <xf borderId="14" fillId="3" fontId="6" numFmtId="2" xfId="0" applyAlignment="1" applyBorder="1" applyFont="1" applyNumberFormat="1">
      <alignment horizontal="center" vertical="center"/>
    </xf>
    <xf borderId="14" fillId="3" fontId="6" numFmtId="0" xfId="0" applyAlignment="1" applyBorder="1" applyFont="1">
      <alignment horizontal="left" vertical="center"/>
    </xf>
    <xf borderId="45" fillId="3" fontId="6" numFmtId="0" xfId="0" applyBorder="1" applyFont="1"/>
    <xf borderId="14" fillId="0" fontId="21" numFmtId="0" xfId="0" applyAlignment="1" applyBorder="1" applyFont="1">
      <alignment horizontal="center"/>
    </xf>
    <xf borderId="16" fillId="0" fontId="21" numFmtId="0" xfId="0" applyAlignment="1" applyBorder="1" applyFont="1">
      <alignment horizontal="left" vertical="top"/>
    </xf>
    <xf borderId="46" fillId="0" fontId="6" numFmtId="0" xfId="0" applyAlignment="1" applyBorder="1" applyFont="1">
      <alignment horizontal="center" vertical="center"/>
    </xf>
    <xf borderId="47" fillId="0" fontId="6" numFmtId="0" xfId="0" applyAlignment="1" applyBorder="1" applyFont="1">
      <alignment horizontal="center" vertical="center"/>
    </xf>
    <xf borderId="48" fillId="0" fontId="6" numFmtId="0" xfId="0" applyAlignment="1" applyBorder="1" applyFont="1">
      <alignment horizontal="center" vertical="center"/>
    </xf>
    <xf borderId="12" fillId="0" fontId="6" numFmtId="0" xfId="0" applyAlignment="1" applyBorder="1" applyFont="1">
      <alignment horizontal="center" vertical="center"/>
    </xf>
    <xf borderId="49" fillId="0" fontId="6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0" fontId="30" numFmtId="0" xfId="0" applyAlignment="1" applyFont="1">
      <alignment horizontal="center" vertical="center"/>
    </xf>
    <xf borderId="0" fillId="0" fontId="31" numFmtId="0" xfId="0" applyAlignment="1" applyFont="1">
      <alignment horizontal="center" vertical="center"/>
    </xf>
    <xf borderId="0" fillId="0" fontId="32" numFmtId="0" xfId="0" applyAlignment="1" applyFont="1">
      <alignment horizontal="center" vertical="center"/>
    </xf>
    <xf borderId="50" fillId="0" fontId="2" numFmtId="0" xfId="0" applyAlignment="1" applyBorder="1" applyFont="1">
      <alignment vertical="center"/>
    </xf>
    <xf borderId="51" fillId="0" fontId="4" numFmtId="0" xfId="0" applyAlignment="1" applyBorder="1" applyFont="1">
      <alignment horizontal="center" vertical="center"/>
    </xf>
    <xf borderId="37" fillId="0" fontId="2" numFmtId="0" xfId="0" applyAlignment="1" applyBorder="1" applyFont="1">
      <alignment vertical="center"/>
    </xf>
    <xf quotePrefix="1" borderId="14" fillId="0" fontId="6" numFmtId="0" xfId="0" applyAlignment="1" applyBorder="1" applyFont="1">
      <alignment horizontal="center" vertical="center"/>
    </xf>
    <xf borderId="46" fillId="0" fontId="2" numFmtId="0" xfId="0" applyAlignment="1" applyBorder="1" applyFont="1">
      <alignment vertical="center"/>
    </xf>
    <xf quotePrefix="1" borderId="47" fillId="0" fontId="6" numFmtId="0" xfId="0" applyAlignment="1" applyBorder="1" applyFont="1">
      <alignment horizontal="center" vertical="center"/>
    </xf>
    <xf borderId="0" fillId="0" fontId="1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0</xdr:rowOff>
    </xdr:from>
    <xdr:ext cx="914400" cy="257175"/>
    <xdr:sp macro="" textlink="">
      <xdr:nvSpPr>
        <xdr:cNvPr id="2" name="TextBox 1"/>
        <xdr:cNvSpPr txBox="1"/>
      </xdr:nvSpPr>
      <xdr:spPr>
        <a:xfrm>
          <a:off x="1628775" y="9667875"/>
          <a:ext cx="914400" cy="264560"/>
        </a:xfrm>
        <a:prstGeom prst="rect">
          <a:avLst/>
        </a:prstGeom>
        <a:noFill/>
      </xdr:spPr>
      <xdr:style>
        <a:lnRef idx="0">
          <a:scrgbClr b="0" g="0" r="0"/>
        </a:lnRef>
        <a:fillRef idx="0">
          <a:scrgbClr b="0" g="0" r="0"/>
        </a:fillRef>
        <a:effectRef idx="0">
          <a:scrgbClr b="0" g="0" r="0"/>
        </a:effectRef>
        <a:fontRef idx="minor">
          <a:schemeClr val="tx1"/>
        </a:fontRef>
      </xdr:style>
      <xdr:txBody>
        <a:bodyPr anchor="t" rtlCol="0" horzOverflow="clip" vertOverflow="clip">
          <a:spAutoFit/>
        </a:bodyPr>
        <a:lstStyle/>
        <a:p>
          <a:endParaRPr lang="en-IN" sz="1100"/>
        </a:p>
      </xdr:txBody>
    </xdr:sp>
    <xdr:clientData fLocksWithSheet="0"/>
  </xdr:oneCellAnchor>
  <xdr:oneCellAnchor>
    <xdr:from>
      <xdr:col>0</xdr:col>
      <xdr:colOff>0</xdr:colOff>
      <xdr:row>6</xdr:row>
      <xdr:rowOff>0</xdr:rowOff>
    </xdr:from>
    <xdr:ext cx="914400" cy="257175"/>
    <xdr:sp macro="" textlink="">
      <xdr:nvSpPr>
        <xdr:cNvPr id="3" name="TextBox 2"/>
        <xdr:cNvSpPr txBox="1"/>
      </xdr:nvSpPr>
      <xdr:spPr>
        <a:xfrm>
          <a:off x="1628775" y="9667875"/>
          <a:ext cx="914400" cy="264560"/>
        </a:xfrm>
        <a:prstGeom prst="rect">
          <a:avLst/>
        </a:prstGeom>
        <a:noFill/>
      </xdr:spPr>
      <xdr:style>
        <a:lnRef idx="0">
          <a:scrgbClr b="0" g="0" r="0"/>
        </a:lnRef>
        <a:fillRef idx="0">
          <a:scrgbClr b="0" g="0" r="0"/>
        </a:fillRef>
        <a:effectRef idx="0">
          <a:scrgbClr b="0" g="0" r="0"/>
        </a:effectRef>
        <a:fontRef idx="minor">
          <a:schemeClr val="tx1"/>
        </a:fontRef>
      </xdr:style>
      <xdr:txBody>
        <a:bodyPr anchor="t" rtlCol="0" horzOverflow="clip" vertOverflow="clip">
          <a:spAutoFit/>
        </a:bodyPr>
        <a:lstStyle/>
        <a:p>
          <a:endParaRPr lang="en-IN"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31</xdr:row>
      <xdr:rowOff>0</xdr:rowOff>
    </xdr:from>
    <xdr:ext cx="914400" cy="257175"/>
    <xdr:sp macro="" textlink="">
      <xdr:nvSpPr>
        <xdr:cNvPr id="2" name="TextBox 1"/>
        <xdr:cNvSpPr txBox="1"/>
      </xdr:nvSpPr>
      <xdr:spPr>
        <a:xfrm>
          <a:off x="6696075" y="17306925"/>
          <a:ext cx="914400" cy="264560"/>
        </a:xfrm>
        <a:prstGeom prst="rect">
          <a:avLst/>
        </a:prstGeom>
        <a:noFill/>
      </xdr:spPr>
      <xdr:style>
        <a:lnRef idx="0">
          <a:scrgbClr b="0" g="0" r="0"/>
        </a:lnRef>
        <a:fillRef idx="0">
          <a:scrgbClr b="0" g="0" r="0"/>
        </a:fillRef>
        <a:effectRef idx="0">
          <a:scrgbClr b="0" g="0" r="0"/>
        </a:effectRef>
        <a:fontRef idx="minor">
          <a:schemeClr val="tx1"/>
        </a:fontRef>
      </xdr:style>
      <xdr:txBody>
        <a:bodyPr anchor="t" rtlCol="0" horzOverflow="clip" vertOverflow="clip">
          <a:spAutoFit/>
        </a:bodyPr>
        <a:lstStyle/>
        <a:p>
          <a:endParaRPr lang="en-IN" sz="1100"/>
        </a:p>
      </xdr:txBody>
    </xdr:sp>
    <xdr:clientData fLocksWithSheet="0"/>
  </xdr:oneCellAnchor>
  <xdr:oneCellAnchor>
    <xdr:from>
      <xdr:col>2</xdr:col>
      <xdr:colOff>0</xdr:colOff>
      <xdr:row>31</xdr:row>
      <xdr:rowOff>0</xdr:rowOff>
    </xdr:from>
    <xdr:ext cx="914400" cy="257175"/>
    <xdr:sp macro="" textlink="">
      <xdr:nvSpPr>
        <xdr:cNvPr id="3" name="TextBox 2"/>
        <xdr:cNvSpPr txBox="1"/>
      </xdr:nvSpPr>
      <xdr:spPr>
        <a:xfrm>
          <a:off x="6696075" y="17306925"/>
          <a:ext cx="914400" cy="264560"/>
        </a:xfrm>
        <a:prstGeom prst="rect">
          <a:avLst/>
        </a:prstGeom>
        <a:noFill/>
      </xdr:spPr>
      <xdr:style>
        <a:lnRef idx="0">
          <a:scrgbClr b="0" g="0" r="0"/>
        </a:lnRef>
        <a:fillRef idx="0">
          <a:scrgbClr b="0" g="0" r="0"/>
        </a:fillRef>
        <a:effectRef idx="0">
          <a:scrgbClr b="0" g="0" r="0"/>
        </a:effectRef>
        <a:fontRef idx="minor">
          <a:schemeClr val="tx1"/>
        </a:fontRef>
      </xdr:style>
      <xdr:txBody>
        <a:bodyPr anchor="t" rtlCol="0" horzOverflow="clip" vertOverflow="clip">
          <a:spAutoFit/>
        </a:bodyPr>
        <a:lstStyle/>
        <a:p>
          <a:endParaRPr lang="en-IN" sz="1100"/>
        </a:p>
      </xdr:txBody>
    </xdr:sp>
    <xdr:clientData fLocksWithSheet="0"/>
  </xdr:oneCellAnchor>
  <xdr:oneCellAnchor>
    <xdr:from>
      <xdr:col>2</xdr:col>
      <xdr:colOff>0</xdr:colOff>
      <xdr:row>31</xdr:row>
      <xdr:rowOff>0</xdr:rowOff>
    </xdr:from>
    <xdr:ext cx="914400" cy="257175"/>
    <xdr:sp macro="" textlink="">
      <xdr:nvSpPr>
        <xdr:cNvPr id="4" name="TextBox 3"/>
        <xdr:cNvSpPr txBox="1"/>
      </xdr:nvSpPr>
      <xdr:spPr>
        <a:xfrm>
          <a:off x="6696075" y="17306925"/>
          <a:ext cx="914400" cy="264560"/>
        </a:xfrm>
        <a:prstGeom prst="rect">
          <a:avLst/>
        </a:prstGeom>
        <a:noFill/>
      </xdr:spPr>
      <xdr:style>
        <a:lnRef idx="0">
          <a:scrgbClr b="0" g="0" r="0"/>
        </a:lnRef>
        <a:fillRef idx="0">
          <a:scrgbClr b="0" g="0" r="0"/>
        </a:fillRef>
        <a:effectRef idx="0">
          <a:scrgbClr b="0" g="0" r="0"/>
        </a:effectRef>
        <a:fontRef idx="minor">
          <a:schemeClr val="tx1"/>
        </a:fontRef>
      </xdr:style>
      <xdr:txBody>
        <a:bodyPr anchor="t" rtlCol="0" horzOverflow="clip" vertOverflow="clip">
          <a:spAutoFit/>
        </a:bodyPr>
        <a:lstStyle/>
        <a:p>
          <a:endParaRPr lang="en-IN" sz="1100"/>
        </a:p>
      </xdr:txBody>
    </xdr:sp>
    <xdr:clientData fLocksWithSheet="0"/>
  </xdr:oneCellAnchor>
  <xdr:oneCellAnchor>
    <xdr:from>
      <xdr:col>2</xdr:col>
      <xdr:colOff>0</xdr:colOff>
      <xdr:row>31</xdr:row>
      <xdr:rowOff>0</xdr:rowOff>
    </xdr:from>
    <xdr:ext cx="914400" cy="257175"/>
    <xdr:sp macro="" textlink="">
      <xdr:nvSpPr>
        <xdr:cNvPr id="5" name="TextBox 4"/>
        <xdr:cNvSpPr txBox="1"/>
      </xdr:nvSpPr>
      <xdr:spPr>
        <a:xfrm>
          <a:off x="6696075" y="17306925"/>
          <a:ext cx="914400" cy="264560"/>
        </a:xfrm>
        <a:prstGeom prst="rect">
          <a:avLst/>
        </a:prstGeom>
        <a:noFill/>
      </xdr:spPr>
      <xdr:style>
        <a:lnRef idx="0">
          <a:scrgbClr b="0" g="0" r="0"/>
        </a:lnRef>
        <a:fillRef idx="0">
          <a:scrgbClr b="0" g="0" r="0"/>
        </a:fillRef>
        <a:effectRef idx="0">
          <a:scrgbClr b="0" g="0" r="0"/>
        </a:effectRef>
        <a:fontRef idx="minor">
          <a:schemeClr val="tx1"/>
        </a:fontRef>
      </xdr:style>
      <xdr:txBody>
        <a:bodyPr anchor="t" rtlCol="0" horzOverflow="clip" vertOverflow="clip">
          <a:spAutoFit/>
        </a:bodyPr>
        <a:lstStyle/>
        <a:p>
          <a:endParaRPr lang="en-IN" sz="1100"/>
        </a:p>
      </xdr:txBody>
    </xdr:sp>
    <xdr:clientData fLocksWithSheet="0"/>
  </xdr:oneCellAnchor>
  <xdr:oneCellAnchor>
    <xdr:from>
      <xdr:col>2</xdr:col>
      <xdr:colOff>0</xdr:colOff>
      <xdr:row>31</xdr:row>
      <xdr:rowOff>0</xdr:rowOff>
    </xdr:from>
    <xdr:ext cx="914400" cy="257175"/>
    <xdr:sp macro="" textlink="">
      <xdr:nvSpPr>
        <xdr:cNvPr id="6" name="TextBox 5"/>
        <xdr:cNvSpPr txBox="1"/>
      </xdr:nvSpPr>
      <xdr:spPr>
        <a:xfrm>
          <a:off x="6696075" y="17306925"/>
          <a:ext cx="914400" cy="264560"/>
        </a:xfrm>
        <a:prstGeom prst="rect">
          <a:avLst/>
        </a:prstGeom>
        <a:noFill/>
      </xdr:spPr>
      <xdr:style>
        <a:lnRef idx="0">
          <a:scrgbClr b="0" g="0" r="0"/>
        </a:lnRef>
        <a:fillRef idx="0">
          <a:scrgbClr b="0" g="0" r="0"/>
        </a:fillRef>
        <a:effectRef idx="0">
          <a:scrgbClr b="0" g="0" r="0"/>
        </a:effectRef>
        <a:fontRef idx="minor">
          <a:schemeClr val="tx1"/>
        </a:fontRef>
      </xdr:style>
      <xdr:txBody>
        <a:bodyPr anchor="t" rtlCol="0" horzOverflow="clip" vertOverflow="clip">
          <a:spAutoFit/>
        </a:bodyPr>
        <a:lstStyle/>
        <a:p>
          <a:endParaRPr lang="en-IN" sz="1100"/>
        </a:p>
      </xdr:txBody>
    </xdr:sp>
    <xdr:clientData fLocksWithSheet="0"/>
  </xdr:oneCellAnchor>
  <xdr:oneCellAnchor>
    <xdr:from>
      <xdr:col>2</xdr:col>
      <xdr:colOff>0</xdr:colOff>
      <xdr:row>31</xdr:row>
      <xdr:rowOff>0</xdr:rowOff>
    </xdr:from>
    <xdr:ext cx="914400" cy="257175"/>
    <xdr:sp macro="" textlink="">
      <xdr:nvSpPr>
        <xdr:cNvPr id="7" name="TextBox 6"/>
        <xdr:cNvSpPr txBox="1"/>
      </xdr:nvSpPr>
      <xdr:spPr>
        <a:xfrm>
          <a:off x="6696075" y="17306925"/>
          <a:ext cx="914400" cy="264560"/>
        </a:xfrm>
        <a:prstGeom prst="rect">
          <a:avLst/>
        </a:prstGeom>
        <a:noFill/>
      </xdr:spPr>
      <xdr:style>
        <a:lnRef idx="0">
          <a:scrgbClr b="0" g="0" r="0"/>
        </a:lnRef>
        <a:fillRef idx="0">
          <a:scrgbClr b="0" g="0" r="0"/>
        </a:fillRef>
        <a:effectRef idx="0">
          <a:scrgbClr b="0" g="0" r="0"/>
        </a:effectRef>
        <a:fontRef idx="minor">
          <a:schemeClr val="tx1"/>
        </a:fontRef>
      </xdr:style>
      <xdr:txBody>
        <a:bodyPr anchor="t" rtlCol="0" horzOverflow="clip" vertOverflow="clip">
          <a:spAutoFit/>
        </a:bodyPr>
        <a:lstStyle/>
        <a:p>
          <a:endParaRPr lang="en-IN" sz="1100"/>
        </a:p>
      </xdr:txBody>
    </xdr:sp>
    <xdr:clientData fLocksWithSheet="0"/>
  </xdr:oneCellAnchor>
  <xdr:oneCellAnchor>
    <xdr:from>
      <xdr:col>2</xdr:col>
      <xdr:colOff>0</xdr:colOff>
      <xdr:row>31</xdr:row>
      <xdr:rowOff>0</xdr:rowOff>
    </xdr:from>
    <xdr:ext cx="914400" cy="257175"/>
    <xdr:sp macro="" textlink="">
      <xdr:nvSpPr>
        <xdr:cNvPr id="8" name="TextBox 7"/>
        <xdr:cNvSpPr txBox="1"/>
      </xdr:nvSpPr>
      <xdr:spPr>
        <a:xfrm>
          <a:off x="6696075" y="17306925"/>
          <a:ext cx="914400" cy="264560"/>
        </a:xfrm>
        <a:prstGeom prst="rect">
          <a:avLst/>
        </a:prstGeom>
        <a:noFill/>
      </xdr:spPr>
      <xdr:style>
        <a:lnRef idx="0">
          <a:scrgbClr b="0" g="0" r="0"/>
        </a:lnRef>
        <a:fillRef idx="0">
          <a:scrgbClr b="0" g="0" r="0"/>
        </a:fillRef>
        <a:effectRef idx="0">
          <a:scrgbClr b="0" g="0" r="0"/>
        </a:effectRef>
        <a:fontRef idx="minor">
          <a:schemeClr val="tx1"/>
        </a:fontRef>
      </xdr:style>
      <xdr:txBody>
        <a:bodyPr anchor="t" rtlCol="0" horzOverflow="clip" vertOverflow="clip">
          <a:spAutoFit/>
        </a:bodyPr>
        <a:lstStyle/>
        <a:p>
          <a:endParaRPr lang="en-IN" sz="1100"/>
        </a:p>
      </xdr:txBody>
    </xdr:sp>
    <xdr:clientData fLocksWithSheet="0"/>
  </xdr:oneCellAnchor>
  <xdr:oneCellAnchor>
    <xdr:from>
      <xdr:col>2</xdr:col>
      <xdr:colOff>0</xdr:colOff>
      <xdr:row>31</xdr:row>
      <xdr:rowOff>0</xdr:rowOff>
    </xdr:from>
    <xdr:ext cx="914400" cy="257175"/>
    <xdr:sp macro="" textlink="">
      <xdr:nvSpPr>
        <xdr:cNvPr id="9" name="TextBox 8"/>
        <xdr:cNvSpPr txBox="1"/>
      </xdr:nvSpPr>
      <xdr:spPr>
        <a:xfrm>
          <a:off x="6696075" y="17306925"/>
          <a:ext cx="914400" cy="264560"/>
        </a:xfrm>
        <a:prstGeom prst="rect">
          <a:avLst/>
        </a:prstGeom>
        <a:noFill/>
      </xdr:spPr>
      <xdr:style>
        <a:lnRef idx="0">
          <a:scrgbClr b="0" g="0" r="0"/>
        </a:lnRef>
        <a:fillRef idx="0">
          <a:scrgbClr b="0" g="0" r="0"/>
        </a:fillRef>
        <a:effectRef idx="0">
          <a:scrgbClr b="0" g="0" r="0"/>
        </a:effectRef>
        <a:fontRef idx="minor">
          <a:schemeClr val="tx1"/>
        </a:fontRef>
      </xdr:style>
      <xdr:txBody>
        <a:bodyPr anchor="t" rtlCol="0" horzOverflow="clip" vertOverflow="clip">
          <a:spAutoFit/>
        </a:bodyPr>
        <a:lstStyle/>
        <a:p>
          <a:endParaRPr lang="en-IN" sz="1100"/>
        </a:p>
      </xdr:txBody>
    </xdr:sp>
    <xdr:clientData fLocksWithSheet="0"/>
  </xdr:oneCellAnchor>
  <xdr:oneCellAnchor>
    <xdr:from>
      <xdr:col>2</xdr:col>
      <xdr:colOff>0</xdr:colOff>
      <xdr:row>31</xdr:row>
      <xdr:rowOff>0</xdr:rowOff>
    </xdr:from>
    <xdr:ext cx="914400" cy="257175"/>
    <xdr:sp macro="" textlink="">
      <xdr:nvSpPr>
        <xdr:cNvPr id="10" name="TextBox 9"/>
        <xdr:cNvSpPr txBox="1"/>
      </xdr:nvSpPr>
      <xdr:spPr>
        <a:xfrm>
          <a:off x="6696075" y="17306925"/>
          <a:ext cx="914400" cy="264560"/>
        </a:xfrm>
        <a:prstGeom prst="rect">
          <a:avLst/>
        </a:prstGeom>
        <a:noFill/>
      </xdr:spPr>
      <xdr:style>
        <a:lnRef idx="0">
          <a:scrgbClr b="0" g="0" r="0"/>
        </a:lnRef>
        <a:fillRef idx="0">
          <a:scrgbClr b="0" g="0" r="0"/>
        </a:fillRef>
        <a:effectRef idx="0">
          <a:scrgbClr b="0" g="0" r="0"/>
        </a:effectRef>
        <a:fontRef idx="minor">
          <a:schemeClr val="tx1"/>
        </a:fontRef>
      </xdr:style>
      <xdr:txBody>
        <a:bodyPr anchor="t" rtlCol="0" horzOverflow="clip" vertOverflow="clip">
          <a:spAutoFit/>
        </a:bodyPr>
        <a:lstStyle/>
        <a:p>
          <a:endParaRPr lang="en-IN" sz="1100"/>
        </a:p>
      </xdr:txBody>
    </xdr:sp>
    <xdr:clientData fLocksWithSheet="0"/>
  </xdr:oneCellAnchor>
  <xdr:oneCellAnchor>
    <xdr:from>
      <xdr:col>2</xdr:col>
      <xdr:colOff>0</xdr:colOff>
      <xdr:row>31</xdr:row>
      <xdr:rowOff>0</xdr:rowOff>
    </xdr:from>
    <xdr:ext cx="914400" cy="257175"/>
    <xdr:sp macro="" textlink="">
      <xdr:nvSpPr>
        <xdr:cNvPr id="11" name="TextBox 10"/>
        <xdr:cNvSpPr txBox="1"/>
      </xdr:nvSpPr>
      <xdr:spPr>
        <a:xfrm>
          <a:off x="6696075" y="17306925"/>
          <a:ext cx="914400" cy="264560"/>
        </a:xfrm>
        <a:prstGeom prst="rect">
          <a:avLst/>
        </a:prstGeom>
        <a:noFill/>
      </xdr:spPr>
      <xdr:style>
        <a:lnRef idx="0">
          <a:scrgbClr b="0" g="0" r="0"/>
        </a:lnRef>
        <a:fillRef idx="0">
          <a:scrgbClr b="0" g="0" r="0"/>
        </a:fillRef>
        <a:effectRef idx="0">
          <a:scrgbClr b="0" g="0" r="0"/>
        </a:effectRef>
        <a:fontRef idx="minor">
          <a:schemeClr val="tx1"/>
        </a:fontRef>
      </xdr:style>
      <xdr:txBody>
        <a:bodyPr anchor="t" rtlCol="0" horzOverflow="clip" vertOverflow="clip">
          <a:spAutoFit/>
        </a:bodyPr>
        <a:lstStyle/>
        <a:p>
          <a:endParaRPr lang="en-IN" sz="1100"/>
        </a:p>
      </xdr:txBody>
    </xdr:sp>
    <xdr:clientData fLocksWithSheet="0"/>
  </xdr:oneCellAnchor>
  <xdr:oneCellAnchor>
    <xdr:from>
      <xdr:col>2</xdr:col>
      <xdr:colOff>0</xdr:colOff>
      <xdr:row>31</xdr:row>
      <xdr:rowOff>0</xdr:rowOff>
    </xdr:from>
    <xdr:ext cx="914400" cy="257175"/>
    <xdr:sp macro="" textlink="">
      <xdr:nvSpPr>
        <xdr:cNvPr id="12" name="TextBox 11"/>
        <xdr:cNvSpPr txBox="1"/>
      </xdr:nvSpPr>
      <xdr:spPr>
        <a:xfrm>
          <a:off x="6696075" y="17306925"/>
          <a:ext cx="914400" cy="264560"/>
        </a:xfrm>
        <a:prstGeom prst="rect">
          <a:avLst/>
        </a:prstGeom>
        <a:noFill/>
      </xdr:spPr>
      <xdr:style>
        <a:lnRef idx="0">
          <a:scrgbClr b="0" g="0" r="0"/>
        </a:lnRef>
        <a:fillRef idx="0">
          <a:scrgbClr b="0" g="0" r="0"/>
        </a:fillRef>
        <a:effectRef idx="0">
          <a:scrgbClr b="0" g="0" r="0"/>
        </a:effectRef>
        <a:fontRef idx="minor">
          <a:schemeClr val="tx1"/>
        </a:fontRef>
      </xdr:style>
      <xdr:txBody>
        <a:bodyPr anchor="t" rtlCol="0" horzOverflow="clip" vertOverflow="clip">
          <a:spAutoFit/>
        </a:bodyPr>
        <a:lstStyle/>
        <a:p>
          <a:endParaRPr lang="en-IN" sz="1100"/>
        </a:p>
      </xdr:txBody>
    </xdr:sp>
    <xdr:clientData fLocksWithSheet="0"/>
  </xdr:oneCellAnchor>
  <xdr:oneCellAnchor>
    <xdr:from>
      <xdr:col>2</xdr:col>
      <xdr:colOff>0</xdr:colOff>
      <xdr:row>31</xdr:row>
      <xdr:rowOff>0</xdr:rowOff>
    </xdr:from>
    <xdr:ext cx="914400" cy="257175"/>
    <xdr:sp macro="" textlink="">
      <xdr:nvSpPr>
        <xdr:cNvPr id="13" name="TextBox 12"/>
        <xdr:cNvSpPr txBox="1"/>
      </xdr:nvSpPr>
      <xdr:spPr>
        <a:xfrm>
          <a:off x="6696075" y="17306925"/>
          <a:ext cx="914400" cy="264560"/>
        </a:xfrm>
        <a:prstGeom prst="rect">
          <a:avLst/>
        </a:prstGeom>
        <a:noFill/>
      </xdr:spPr>
      <xdr:style>
        <a:lnRef idx="0">
          <a:scrgbClr b="0" g="0" r="0"/>
        </a:lnRef>
        <a:fillRef idx="0">
          <a:scrgbClr b="0" g="0" r="0"/>
        </a:fillRef>
        <a:effectRef idx="0">
          <a:scrgbClr b="0" g="0" r="0"/>
        </a:effectRef>
        <a:fontRef idx="minor">
          <a:schemeClr val="tx1"/>
        </a:fontRef>
      </xdr:style>
      <xdr:txBody>
        <a:bodyPr anchor="t" rtlCol="0" horzOverflow="clip" vertOverflow="clip">
          <a:spAutoFit/>
        </a:bodyPr>
        <a:lstStyle/>
        <a:p>
          <a:endParaRPr lang="en-IN" sz="1100"/>
        </a:p>
      </xdr:txBody>
    </xdr:sp>
    <xdr:clientData fLocksWithSheet="0"/>
  </xdr:oneCellAnchor>
  <xdr:oneCellAnchor>
    <xdr:from>
      <xdr:col>2</xdr:col>
      <xdr:colOff>0</xdr:colOff>
      <xdr:row>31</xdr:row>
      <xdr:rowOff>0</xdr:rowOff>
    </xdr:from>
    <xdr:ext cx="914400" cy="257175"/>
    <xdr:sp macro="" textlink="">
      <xdr:nvSpPr>
        <xdr:cNvPr id="14" name="TextBox 13"/>
        <xdr:cNvSpPr txBox="1"/>
      </xdr:nvSpPr>
      <xdr:spPr>
        <a:xfrm>
          <a:off x="6696075" y="17306925"/>
          <a:ext cx="914400" cy="264560"/>
        </a:xfrm>
        <a:prstGeom prst="rect">
          <a:avLst/>
        </a:prstGeom>
        <a:noFill/>
      </xdr:spPr>
      <xdr:style>
        <a:lnRef idx="0">
          <a:scrgbClr b="0" g="0" r="0"/>
        </a:lnRef>
        <a:fillRef idx="0">
          <a:scrgbClr b="0" g="0" r="0"/>
        </a:fillRef>
        <a:effectRef idx="0">
          <a:scrgbClr b="0" g="0" r="0"/>
        </a:effectRef>
        <a:fontRef idx="minor">
          <a:schemeClr val="tx1"/>
        </a:fontRef>
      </xdr:style>
      <xdr:txBody>
        <a:bodyPr anchor="t" rtlCol="0" horzOverflow="clip" vertOverflow="clip">
          <a:spAutoFit/>
        </a:bodyPr>
        <a:lstStyle/>
        <a:p>
          <a:endParaRPr lang="en-IN" sz="1100"/>
        </a:p>
      </xdr:txBody>
    </xdr:sp>
    <xdr:clientData fLocksWithSheet="0"/>
  </xdr:oneCellAnchor>
  <xdr:oneCellAnchor>
    <xdr:from>
      <xdr:col>2</xdr:col>
      <xdr:colOff>0</xdr:colOff>
      <xdr:row>31</xdr:row>
      <xdr:rowOff>0</xdr:rowOff>
    </xdr:from>
    <xdr:ext cx="914400" cy="257175"/>
    <xdr:sp macro="" textlink="">
      <xdr:nvSpPr>
        <xdr:cNvPr id="15" name="TextBox 14"/>
        <xdr:cNvSpPr txBox="1"/>
      </xdr:nvSpPr>
      <xdr:spPr>
        <a:xfrm>
          <a:off x="6696075" y="17306925"/>
          <a:ext cx="914400" cy="264560"/>
        </a:xfrm>
        <a:prstGeom prst="rect">
          <a:avLst/>
        </a:prstGeom>
        <a:noFill/>
      </xdr:spPr>
      <xdr:style>
        <a:lnRef idx="0">
          <a:scrgbClr b="0" g="0" r="0"/>
        </a:lnRef>
        <a:fillRef idx="0">
          <a:scrgbClr b="0" g="0" r="0"/>
        </a:fillRef>
        <a:effectRef idx="0">
          <a:scrgbClr b="0" g="0" r="0"/>
        </a:effectRef>
        <a:fontRef idx="minor">
          <a:schemeClr val="tx1"/>
        </a:fontRef>
      </xdr:style>
      <xdr:txBody>
        <a:bodyPr anchor="t" rtlCol="0" horzOverflow="clip" vertOverflow="clip">
          <a:spAutoFit/>
        </a:bodyPr>
        <a:lstStyle/>
        <a:p>
          <a:endParaRPr lang="en-IN" sz="1100"/>
        </a:p>
      </xdr:txBody>
    </xdr:sp>
    <xdr:clientData fLocksWithSheet="0"/>
  </xdr:oneCellAnchor>
  <xdr:oneCellAnchor>
    <xdr:from>
      <xdr:col>2</xdr:col>
      <xdr:colOff>0</xdr:colOff>
      <xdr:row>31</xdr:row>
      <xdr:rowOff>0</xdr:rowOff>
    </xdr:from>
    <xdr:ext cx="914400" cy="257175"/>
    <xdr:sp macro="" textlink="">
      <xdr:nvSpPr>
        <xdr:cNvPr id="16" name="TextBox 15"/>
        <xdr:cNvSpPr txBox="1"/>
      </xdr:nvSpPr>
      <xdr:spPr>
        <a:xfrm>
          <a:off x="6696075" y="17306925"/>
          <a:ext cx="914400" cy="264560"/>
        </a:xfrm>
        <a:prstGeom prst="rect">
          <a:avLst/>
        </a:prstGeom>
        <a:noFill/>
      </xdr:spPr>
      <xdr:style>
        <a:lnRef idx="0">
          <a:scrgbClr b="0" g="0" r="0"/>
        </a:lnRef>
        <a:fillRef idx="0">
          <a:scrgbClr b="0" g="0" r="0"/>
        </a:fillRef>
        <a:effectRef idx="0">
          <a:scrgbClr b="0" g="0" r="0"/>
        </a:effectRef>
        <a:fontRef idx="minor">
          <a:schemeClr val="tx1"/>
        </a:fontRef>
      </xdr:style>
      <xdr:txBody>
        <a:bodyPr anchor="t" rtlCol="0" horzOverflow="clip" vertOverflow="clip">
          <a:spAutoFit/>
        </a:bodyPr>
        <a:lstStyle/>
        <a:p>
          <a:endParaRPr lang="en-IN" sz="1100"/>
        </a:p>
      </xdr:txBody>
    </xdr:sp>
    <xdr:clientData fLocksWithSheet="0"/>
  </xdr:oneCellAnchor>
  <xdr:oneCellAnchor>
    <xdr:from>
      <xdr:col>2</xdr:col>
      <xdr:colOff>0</xdr:colOff>
      <xdr:row>31</xdr:row>
      <xdr:rowOff>0</xdr:rowOff>
    </xdr:from>
    <xdr:ext cx="914400" cy="257175"/>
    <xdr:sp macro="" textlink="">
      <xdr:nvSpPr>
        <xdr:cNvPr id="17" name="TextBox 16"/>
        <xdr:cNvSpPr txBox="1"/>
      </xdr:nvSpPr>
      <xdr:spPr>
        <a:xfrm>
          <a:off x="6696075" y="17306925"/>
          <a:ext cx="914400" cy="264560"/>
        </a:xfrm>
        <a:prstGeom prst="rect">
          <a:avLst/>
        </a:prstGeom>
        <a:noFill/>
      </xdr:spPr>
      <xdr:style>
        <a:lnRef idx="0">
          <a:scrgbClr b="0" g="0" r="0"/>
        </a:lnRef>
        <a:fillRef idx="0">
          <a:scrgbClr b="0" g="0" r="0"/>
        </a:fillRef>
        <a:effectRef idx="0">
          <a:scrgbClr b="0" g="0" r="0"/>
        </a:effectRef>
        <a:fontRef idx="minor">
          <a:schemeClr val="tx1"/>
        </a:fontRef>
      </xdr:style>
      <xdr:txBody>
        <a:bodyPr anchor="t" rtlCol="0" horzOverflow="clip" vertOverflow="clip">
          <a:spAutoFit/>
        </a:bodyPr>
        <a:lstStyle/>
        <a:p>
          <a:endParaRPr lang="en-IN" sz="1100"/>
        </a:p>
      </xdr:txBody>
    </xdr:sp>
    <xdr:clientData fLocksWithSheet="0"/>
  </xdr:oneCellAnchor>
  <xdr:oneCellAnchor>
    <xdr:from>
      <xdr:col>2</xdr:col>
      <xdr:colOff>0</xdr:colOff>
      <xdr:row>31</xdr:row>
      <xdr:rowOff>0</xdr:rowOff>
    </xdr:from>
    <xdr:ext cx="914400" cy="257175"/>
    <xdr:sp macro="" textlink="">
      <xdr:nvSpPr>
        <xdr:cNvPr id="18" name="TextBox 17"/>
        <xdr:cNvSpPr txBox="1"/>
      </xdr:nvSpPr>
      <xdr:spPr>
        <a:xfrm>
          <a:off x="6696075" y="17306925"/>
          <a:ext cx="914400" cy="264560"/>
        </a:xfrm>
        <a:prstGeom prst="rect">
          <a:avLst/>
        </a:prstGeom>
        <a:noFill/>
      </xdr:spPr>
      <xdr:style>
        <a:lnRef idx="0">
          <a:scrgbClr b="0" g="0" r="0"/>
        </a:lnRef>
        <a:fillRef idx="0">
          <a:scrgbClr b="0" g="0" r="0"/>
        </a:fillRef>
        <a:effectRef idx="0">
          <a:scrgbClr b="0" g="0" r="0"/>
        </a:effectRef>
        <a:fontRef idx="minor">
          <a:schemeClr val="tx1"/>
        </a:fontRef>
      </xdr:style>
      <xdr:txBody>
        <a:bodyPr anchor="t" rtlCol="0" horzOverflow="clip" vertOverflow="clip">
          <a:spAutoFit/>
        </a:bodyPr>
        <a:lstStyle/>
        <a:p>
          <a:endParaRPr lang="en-IN" sz="1100"/>
        </a:p>
      </xdr:txBody>
    </xdr:sp>
    <xdr:clientData fLocksWithSheet="0"/>
  </xdr:oneCellAnchor>
  <xdr:oneCellAnchor>
    <xdr:from>
      <xdr:col>2</xdr:col>
      <xdr:colOff>0</xdr:colOff>
      <xdr:row>31</xdr:row>
      <xdr:rowOff>0</xdr:rowOff>
    </xdr:from>
    <xdr:ext cx="914400" cy="257175"/>
    <xdr:sp macro="" textlink="">
      <xdr:nvSpPr>
        <xdr:cNvPr id="19" name="TextBox 18"/>
        <xdr:cNvSpPr txBox="1"/>
      </xdr:nvSpPr>
      <xdr:spPr>
        <a:xfrm>
          <a:off x="6696075" y="17306925"/>
          <a:ext cx="914400" cy="264560"/>
        </a:xfrm>
        <a:prstGeom prst="rect">
          <a:avLst/>
        </a:prstGeom>
        <a:noFill/>
      </xdr:spPr>
      <xdr:style>
        <a:lnRef idx="0">
          <a:scrgbClr b="0" g="0" r="0"/>
        </a:lnRef>
        <a:fillRef idx="0">
          <a:scrgbClr b="0" g="0" r="0"/>
        </a:fillRef>
        <a:effectRef idx="0">
          <a:scrgbClr b="0" g="0" r="0"/>
        </a:effectRef>
        <a:fontRef idx="minor">
          <a:schemeClr val="tx1"/>
        </a:fontRef>
      </xdr:style>
      <xdr:txBody>
        <a:bodyPr anchor="t" rtlCol="0" horzOverflow="clip" vertOverflow="clip">
          <a:spAutoFit/>
        </a:bodyPr>
        <a:lstStyle/>
        <a:p>
          <a:endParaRPr lang="en-IN" sz="1100"/>
        </a:p>
      </xdr:txBody>
    </xdr:sp>
    <xdr:clientData fLocksWithSheet="0"/>
  </xdr:oneCellAnchor>
  <xdr:oneCellAnchor>
    <xdr:from>
      <xdr:col>2</xdr:col>
      <xdr:colOff>0</xdr:colOff>
      <xdr:row>31</xdr:row>
      <xdr:rowOff>0</xdr:rowOff>
    </xdr:from>
    <xdr:ext cx="914400" cy="257175"/>
    <xdr:sp macro="" textlink="">
      <xdr:nvSpPr>
        <xdr:cNvPr id="20" name="TextBox 19"/>
        <xdr:cNvSpPr txBox="1"/>
      </xdr:nvSpPr>
      <xdr:spPr>
        <a:xfrm>
          <a:off x="6696075" y="17306925"/>
          <a:ext cx="914400" cy="264560"/>
        </a:xfrm>
        <a:prstGeom prst="rect">
          <a:avLst/>
        </a:prstGeom>
        <a:noFill/>
      </xdr:spPr>
      <xdr:style>
        <a:lnRef idx="0">
          <a:scrgbClr b="0" g="0" r="0"/>
        </a:lnRef>
        <a:fillRef idx="0">
          <a:scrgbClr b="0" g="0" r="0"/>
        </a:fillRef>
        <a:effectRef idx="0">
          <a:scrgbClr b="0" g="0" r="0"/>
        </a:effectRef>
        <a:fontRef idx="minor">
          <a:schemeClr val="tx1"/>
        </a:fontRef>
      </xdr:style>
      <xdr:txBody>
        <a:bodyPr anchor="t" rtlCol="0" horzOverflow="clip" vertOverflow="clip">
          <a:spAutoFit/>
        </a:bodyPr>
        <a:lstStyle/>
        <a:p>
          <a:endParaRPr lang="en-IN" sz="1100"/>
        </a:p>
      </xdr:txBody>
    </xdr:sp>
    <xdr:clientData fLocksWithSheet="0"/>
  </xdr:oneCellAnchor>
  <xdr:oneCellAnchor>
    <xdr:from>
      <xdr:col>2</xdr:col>
      <xdr:colOff>0</xdr:colOff>
      <xdr:row>31</xdr:row>
      <xdr:rowOff>0</xdr:rowOff>
    </xdr:from>
    <xdr:ext cx="914400" cy="257175"/>
    <xdr:sp macro="" textlink="">
      <xdr:nvSpPr>
        <xdr:cNvPr id="21" name="TextBox 20"/>
        <xdr:cNvSpPr txBox="1"/>
      </xdr:nvSpPr>
      <xdr:spPr>
        <a:xfrm>
          <a:off x="6696075" y="17306925"/>
          <a:ext cx="914400" cy="264560"/>
        </a:xfrm>
        <a:prstGeom prst="rect">
          <a:avLst/>
        </a:prstGeom>
        <a:noFill/>
      </xdr:spPr>
      <xdr:style>
        <a:lnRef idx="0">
          <a:scrgbClr b="0" g="0" r="0"/>
        </a:lnRef>
        <a:fillRef idx="0">
          <a:scrgbClr b="0" g="0" r="0"/>
        </a:fillRef>
        <a:effectRef idx="0">
          <a:scrgbClr b="0" g="0" r="0"/>
        </a:effectRef>
        <a:fontRef idx="minor">
          <a:schemeClr val="tx1"/>
        </a:fontRef>
      </xdr:style>
      <xdr:txBody>
        <a:bodyPr anchor="t" rtlCol="0" horzOverflow="clip" vertOverflow="clip">
          <a:spAutoFit/>
        </a:bodyPr>
        <a:lstStyle/>
        <a:p>
          <a:endParaRPr lang="en-IN" sz="1100"/>
        </a:p>
      </xdr:txBody>
    </xdr:sp>
    <xdr:clientData fLocksWithSheet="0"/>
  </xdr:oneCellAnchor>
  <xdr:oneCellAnchor>
    <xdr:from>
      <xdr:col>2</xdr:col>
      <xdr:colOff>0</xdr:colOff>
      <xdr:row>31</xdr:row>
      <xdr:rowOff>0</xdr:rowOff>
    </xdr:from>
    <xdr:ext cx="914400" cy="257175"/>
    <xdr:sp macro="" textlink="">
      <xdr:nvSpPr>
        <xdr:cNvPr id="22" name="TextBox 21"/>
        <xdr:cNvSpPr txBox="1"/>
      </xdr:nvSpPr>
      <xdr:spPr>
        <a:xfrm>
          <a:off x="6696075" y="17306925"/>
          <a:ext cx="914400" cy="264560"/>
        </a:xfrm>
        <a:prstGeom prst="rect">
          <a:avLst/>
        </a:prstGeom>
        <a:noFill/>
      </xdr:spPr>
      <xdr:style>
        <a:lnRef idx="0">
          <a:scrgbClr b="0" g="0" r="0"/>
        </a:lnRef>
        <a:fillRef idx="0">
          <a:scrgbClr b="0" g="0" r="0"/>
        </a:fillRef>
        <a:effectRef idx="0">
          <a:scrgbClr b="0" g="0" r="0"/>
        </a:effectRef>
        <a:fontRef idx="minor">
          <a:schemeClr val="tx1"/>
        </a:fontRef>
      </xdr:style>
      <xdr:txBody>
        <a:bodyPr anchor="t" rtlCol="0" horzOverflow="clip" vertOverflow="clip">
          <a:spAutoFit/>
        </a:bodyPr>
        <a:lstStyle/>
        <a:p>
          <a:endParaRPr lang="en-IN" sz="1100"/>
        </a:p>
      </xdr:txBody>
    </xdr:sp>
    <xdr:clientData fLocksWithSheet="0"/>
  </xdr:oneCellAnchor>
  <xdr:oneCellAnchor>
    <xdr:from>
      <xdr:col>2</xdr:col>
      <xdr:colOff>0</xdr:colOff>
      <xdr:row>31</xdr:row>
      <xdr:rowOff>0</xdr:rowOff>
    </xdr:from>
    <xdr:ext cx="914400" cy="257175"/>
    <xdr:sp macro="" textlink="">
      <xdr:nvSpPr>
        <xdr:cNvPr id="23" name="TextBox 22"/>
        <xdr:cNvSpPr txBox="1"/>
      </xdr:nvSpPr>
      <xdr:spPr>
        <a:xfrm>
          <a:off x="6696075" y="17306925"/>
          <a:ext cx="914400" cy="264560"/>
        </a:xfrm>
        <a:prstGeom prst="rect">
          <a:avLst/>
        </a:prstGeom>
        <a:noFill/>
      </xdr:spPr>
      <xdr:style>
        <a:lnRef idx="0">
          <a:scrgbClr b="0" g="0" r="0"/>
        </a:lnRef>
        <a:fillRef idx="0">
          <a:scrgbClr b="0" g="0" r="0"/>
        </a:fillRef>
        <a:effectRef idx="0">
          <a:scrgbClr b="0" g="0" r="0"/>
        </a:effectRef>
        <a:fontRef idx="minor">
          <a:schemeClr val="tx1"/>
        </a:fontRef>
      </xdr:style>
      <xdr:txBody>
        <a:bodyPr anchor="t" rtlCol="0" horzOverflow="clip" vertOverflow="clip">
          <a:spAutoFit/>
        </a:bodyPr>
        <a:lstStyle/>
        <a:p>
          <a:endParaRPr lang="en-IN" sz="1100"/>
        </a:p>
      </xdr:txBody>
    </xdr:sp>
    <xdr:clientData fLocksWithSheet="0"/>
  </xdr:oneCellAnchor>
  <xdr:oneCellAnchor>
    <xdr:from>
      <xdr:col>2</xdr:col>
      <xdr:colOff>0</xdr:colOff>
      <xdr:row>31</xdr:row>
      <xdr:rowOff>0</xdr:rowOff>
    </xdr:from>
    <xdr:ext cx="914400" cy="257175"/>
    <xdr:sp macro="" textlink="">
      <xdr:nvSpPr>
        <xdr:cNvPr id="24" name="TextBox 23"/>
        <xdr:cNvSpPr txBox="1"/>
      </xdr:nvSpPr>
      <xdr:spPr>
        <a:xfrm>
          <a:off x="6696075" y="17306925"/>
          <a:ext cx="914400" cy="264560"/>
        </a:xfrm>
        <a:prstGeom prst="rect">
          <a:avLst/>
        </a:prstGeom>
        <a:noFill/>
      </xdr:spPr>
      <xdr:style>
        <a:lnRef idx="0">
          <a:scrgbClr b="0" g="0" r="0"/>
        </a:lnRef>
        <a:fillRef idx="0">
          <a:scrgbClr b="0" g="0" r="0"/>
        </a:fillRef>
        <a:effectRef idx="0">
          <a:scrgbClr b="0" g="0" r="0"/>
        </a:effectRef>
        <a:fontRef idx="minor">
          <a:schemeClr val="tx1"/>
        </a:fontRef>
      </xdr:style>
      <xdr:txBody>
        <a:bodyPr anchor="t" rtlCol="0" horzOverflow="clip" vertOverflow="clip">
          <a:spAutoFit/>
        </a:bodyPr>
        <a:lstStyle/>
        <a:p>
          <a:endParaRPr lang="en-IN" sz="1100"/>
        </a:p>
      </xdr:txBody>
    </xdr:sp>
    <xdr:clientData fLocksWithSheet="0"/>
  </xdr:oneCellAnchor>
  <xdr:oneCellAnchor>
    <xdr:from>
      <xdr:col>2</xdr:col>
      <xdr:colOff>0</xdr:colOff>
      <xdr:row>31</xdr:row>
      <xdr:rowOff>0</xdr:rowOff>
    </xdr:from>
    <xdr:ext cx="914400" cy="257175"/>
    <xdr:sp macro="" textlink="">
      <xdr:nvSpPr>
        <xdr:cNvPr id="25" name="TextBox 24"/>
        <xdr:cNvSpPr txBox="1"/>
      </xdr:nvSpPr>
      <xdr:spPr>
        <a:xfrm>
          <a:off x="6696075" y="17306925"/>
          <a:ext cx="914400" cy="264560"/>
        </a:xfrm>
        <a:prstGeom prst="rect">
          <a:avLst/>
        </a:prstGeom>
        <a:noFill/>
      </xdr:spPr>
      <xdr:style>
        <a:lnRef idx="0">
          <a:scrgbClr b="0" g="0" r="0"/>
        </a:lnRef>
        <a:fillRef idx="0">
          <a:scrgbClr b="0" g="0" r="0"/>
        </a:fillRef>
        <a:effectRef idx="0">
          <a:scrgbClr b="0" g="0" r="0"/>
        </a:effectRef>
        <a:fontRef idx="minor">
          <a:schemeClr val="tx1"/>
        </a:fontRef>
      </xdr:style>
      <xdr:txBody>
        <a:bodyPr anchor="t" rtlCol="0" horzOverflow="clip" vertOverflow="clip">
          <a:spAutoFit/>
        </a:bodyPr>
        <a:lstStyle/>
        <a:p>
          <a:endParaRPr lang="en-IN" sz="1100"/>
        </a:p>
      </xdr:txBody>
    </xdr:sp>
    <xdr:clientData fLocksWithSheet="0"/>
  </xdr:oneCellAnchor>
  <xdr:oneCellAnchor>
    <xdr:from>
      <xdr:col>2</xdr:col>
      <xdr:colOff>0</xdr:colOff>
      <xdr:row>39</xdr:row>
      <xdr:rowOff>0</xdr:rowOff>
    </xdr:from>
    <xdr:ext cx="914400" cy="257175"/>
    <xdr:sp macro="" textlink="">
      <xdr:nvSpPr>
        <xdr:cNvPr id="26" name="TextBox 25"/>
        <xdr:cNvSpPr txBox="1"/>
      </xdr:nvSpPr>
      <xdr:spPr>
        <a:xfrm>
          <a:off x="2924175" y="20812125"/>
          <a:ext cx="914400" cy="264560"/>
        </a:xfrm>
        <a:prstGeom prst="rect">
          <a:avLst/>
        </a:prstGeom>
        <a:noFill/>
      </xdr:spPr>
      <xdr:style>
        <a:lnRef idx="0">
          <a:scrgbClr b="0" g="0" r="0"/>
        </a:lnRef>
        <a:fillRef idx="0">
          <a:scrgbClr b="0" g="0" r="0"/>
        </a:fillRef>
        <a:effectRef idx="0">
          <a:scrgbClr b="0" g="0" r="0"/>
        </a:effectRef>
        <a:fontRef idx="minor">
          <a:schemeClr val="tx1"/>
        </a:fontRef>
      </xdr:style>
      <xdr:txBody>
        <a:bodyPr anchor="t" rtlCol="0" horzOverflow="clip" vertOverflow="clip">
          <a:spAutoFit/>
        </a:bodyPr>
        <a:lstStyle/>
        <a:p>
          <a:endParaRPr lang="en-IN" sz="1100"/>
        </a:p>
      </xdr:txBody>
    </xdr:sp>
    <xdr:clientData fLocksWithSheet="0"/>
  </xdr:oneCellAnchor>
  <xdr:oneCellAnchor>
    <xdr:from>
      <xdr:col>2</xdr:col>
      <xdr:colOff>0</xdr:colOff>
      <xdr:row>39</xdr:row>
      <xdr:rowOff>0</xdr:rowOff>
    </xdr:from>
    <xdr:ext cx="914400" cy="257175"/>
    <xdr:sp macro="" textlink="">
      <xdr:nvSpPr>
        <xdr:cNvPr id="27" name="TextBox 26"/>
        <xdr:cNvSpPr txBox="1"/>
      </xdr:nvSpPr>
      <xdr:spPr>
        <a:xfrm>
          <a:off x="2924175" y="20812125"/>
          <a:ext cx="914400" cy="264560"/>
        </a:xfrm>
        <a:prstGeom prst="rect">
          <a:avLst/>
        </a:prstGeom>
        <a:noFill/>
      </xdr:spPr>
      <xdr:style>
        <a:lnRef idx="0">
          <a:scrgbClr b="0" g="0" r="0"/>
        </a:lnRef>
        <a:fillRef idx="0">
          <a:scrgbClr b="0" g="0" r="0"/>
        </a:fillRef>
        <a:effectRef idx="0">
          <a:scrgbClr b="0" g="0" r="0"/>
        </a:effectRef>
        <a:fontRef idx="minor">
          <a:schemeClr val="tx1"/>
        </a:fontRef>
      </xdr:style>
      <xdr:txBody>
        <a:bodyPr anchor="t" rtlCol="0" horzOverflow="clip" vertOverflow="clip">
          <a:spAutoFit/>
        </a:bodyPr>
        <a:lstStyle/>
        <a:p>
          <a:endParaRPr lang="en-IN"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1" Type="http://schemas.openxmlformats.org/officeDocument/2006/relationships/drawing" Target="../drawings/drawing4.xml"/><Relationship Id="rId10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2.86"/>
    <col customWidth="1" min="3" max="3" width="12.43"/>
    <col customWidth="1" min="4" max="4" width="11.86"/>
    <col customWidth="1" min="5" max="5" width="6.86"/>
    <col customWidth="1" min="6" max="6" width="6.71"/>
    <col customWidth="1" min="7" max="7" width="6.57"/>
    <col customWidth="1" min="8" max="8" width="11.86"/>
    <col customWidth="1" min="9" max="9" width="9.0"/>
    <col customWidth="1" min="10" max="10" width="13.14"/>
    <col customWidth="1" min="11" max="11" width="10.71"/>
    <col customWidth="1" min="12" max="12" width="13.43"/>
    <col customWidth="1" min="13" max="13" width="13.29"/>
    <col customWidth="1" min="14" max="25" width="8.71"/>
  </cols>
  <sheetData>
    <row r="1" ht="21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 t="s">
        <v>0</v>
      </c>
      <c r="M1" s="1"/>
      <c r="N1" s="1"/>
    </row>
    <row r="2" ht="21.75" customHeight="1">
      <c r="A2" s="3" t="s">
        <v>1</v>
      </c>
      <c r="K2" s="1"/>
      <c r="L2" s="1"/>
      <c r="M2" s="1"/>
      <c r="N2" s="1"/>
    </row>
    <row r="3" ht="21.75" customHeight="1">
      <c r="A3" s="4" t="s">
        <v>2</v>
      </c>
      <c r="B3" s="4"/>
      <c r="C3" s="4"/>
      <c r="D3" s="4"/>
      <c r="E3" s="4"/>
      <c r="F3" s="4"/>
      <c r="G3" s="4"/>
      <c r="H3" s="5"/>
      <c r="I3" s="2"/>
      <c r="J3" s="4"/>
      <c r="K3" s="1"/>
      <c r="L3" s="1"/>
      <c r="M3" s="1"/>
      <c r="N3" s="1"/>
    </row>
    <row r="4" ht="21.75" customHeight="1">
      <c r="A4" s="4" t="s">
        <v>3</v>
      </c>
      <c r="B4" s="4"/>
      <c r="C4" s="4"/>
      <c r="D4" s="4"/>
      <c r="E4" s="4"/>
      <c r="F4" s="4"/>
      <c r="G4" s="4"/>
      <c r="H4" s="6"/>
      <c r="I4" s="2"/>
      <c r="J4" s="4"/>
      <c r="K4" s="1"/>
      <c r="L4" s="1"/>
      <c r="M4" s="7"/>
      <c r="N4" s="1"/>
      <c r="O4" s="8"/>
    </row>
    <row r="5" ht="21.75" customHeight="1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1"/>
      <c r="L5" s="1"/>
      <c r="M5" s="1"/>
      <c r="N5" s="1"/>
      <c r="O5" s="8"/>
    </row>
    <row r="6" ht="21.75" customHeight="1">
      <c r="A6" s="4" t="s">
        <v>5</v>
      </c>
      <c r="B6" s="4"/>
      <c r="C6" s="4"/>
      <c r="D6" s="9"/>
      <c r="E6" s="4"/>
      <c r="F6" s="4"/>
      <c r="G6" s="4"/>
      <c r="H6" s="4"/>
      <c r="I6" s="4"/>
      <c r="J6" s="4"/>
      <c r="K6" s="1"/>
      <c r="L6" s="1"/>
      <c r="M6" s="1"/>
      <c r="N6" s="1"/>
      <c r="O6" s="8"/>
    </row>
    <row r="7" ht="21.75" customHeight="1">
      <c r="A7" s="10" t="s">
        <v>6</v>
      </c>
      <c r="B7" s="11" t="s">
        <v>7</v>
      </c>
      <c r="C7" s="11" t="s">
        <v>8</v>
      </c>
      <c r="D7" s="12" t="s">
        <v>9</v>
      </c>
      <c r="E7" s="13"/>
      <c r="F7" s="13"/>
      <c r="G7" s="14"/>
      <c r="H7" s="11" t="s">
        <v>10</v>
      </c>
      <c r="I7" s="11" t="s">
        <v>11</v>
      </c>
      <c r="J7" s="15" t="s">
        <v>12</v>
      </c>
      <c r="K7" s="11" t="s">
        <v>13</v>
      </c>
      <c r="L7" s="11" t="s">
        <v>14</v>
      </c>
      <c r="M7" s="16" t="s">
        <v>15</v>
      </c>
      <c r="N7" s="1"/>
      <c r="R7" s="8"/>
    </row>
    <row r="8" ht="21.75" customHeight="1">
      <c r="A8" s="17"/>
      <c r="B8" s="18"/>
      <c r="C8" s="18"/>
      <c r="D8" s="19" t="s">
        <v>16</v>
      </c>
      <c r="E8" s="19" t="s">
        <v>17</v>
      </c>
      <c r="F8" s="19" t="s">
        <v>18</v>
      </c>
      <c r="G8" s="19" t="s">
        <v>19</v>
      </c>
      <c r="H8" s="18"/>
      <c r="I8" s="18"/>
      <c r="J8" s="18"/>
      <c r="K8" s="18"/>
      <c r="L8" s="18"/>
      <c r="M8" s="20"/>
      <c r="N8" s="1"/>
      <c r="R8" s="8"/>
    </row>
    <row r="9" ht="21.75" customHeight="1">
      <c r="A9" s="17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20"/>
      <c r="N9" s="21"/>
      <c r="R9" s="8"/>
    </row>
    <row r="10" ht="21.75" customHeight="1">
      <c r="A10" s="22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4"/>
      <c r="N10" s="25"/>
      <c r="R10" s="8"/>
    </row>
    <row r="11" ht="21.75" customHeight="1">
      <c r="A11" s="26" t="s">
        <v>20</v>
      </c>
      <c r="B11" s="27">
        <v>72.0</v>
      </c>
      <c r="C11" s="27">
        <v>71.0</v>
      </c>
      <c r="D11" s="27">
        <v>20.0</v>
      </c>
      <c r="E11" s="27">
        <v>23.0</v>
      </c>
      <c r="F11" s="27">
        <v>7.0</v>
      </c>
      <c r="G11" s="27">
        <v>1.0</v>
      </c>
      <c r="H11" s="27" t="str">
        <f>SUM(D11:G11)</f>
        <v>51</v>
      </c>
      <c r="I11" s="28">
        <v>20.0</v>
      </c>
      <c r="J11" s="27" t="str">
        <f>H11+I11</f>
        <v>71</v>
      </c>
      <c r="K11" s="27" t="str">
        <f>C11-J11</f>
        <v>0</v>
      </c>
      <c r="L11" s="29" t="str">
        <f>H11/C11</f>
        <v>71.83%</v>
      </c>
      <c r="M11" s="30" t="str">
        <f>J11/C11</f>
        <v>100.00%</v>
      </c>
      <c r="N11" s="1"/>
    </row>
    <row r="12" ht="21.75" customHeight="1">
      <c r="A12" s="1"/>
      <c r="B12" s="1"/>
      <c r="C12" s="31"/>
      <c r="D12" s="31"/>
      <c r="E12" s="32"/>
      <c r="H12" s="33"/>
      <c r="J12" s="2"/>
      <c r="K12" s="1"/>
      <c r="L12" s="1"/>
      <c r="M12" s="1"/>
      <c r="N12" s="21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ht="21.75" customHeight="1">
      <c r="A13" s="34" t="s">
        <v>21</v>
      </c>
      <c r="B13" s="21"/>
      <c r="C13" s="31" t="str">
        <f>C11</f>
        <v>71</v>
      </c>
      <c r="D13" s="31"/>
      <c r="E13" s="32"/>
      <c r="H13" s="33"/>
      <c r="J13" s="2"/>
      <c r="K13" s="1"/>
      <c r="L13" s="1"/>
      <c r="M13" s="1"/>
      <c r="N13" s="21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ht="21.75" customHeight="1">
      <c r="A14" s="34" t="s">
        <v>22</v>
      </c>
      <c r="B14" s="21"/>
      <c r="C14" s="31" t="str">
        <f>J11</f>
        <v>71</v>
      </c>
      <c r="D14" s="35"/>
      <c r="E14" s="35"/>
      <c r="F14" s="35"/>
      <c r="G14" s="36"/>
      <c r="J14" s="37"/>
      <c r="K14" s="1"/>
      <c r="L14" s="1"/>
      <c r="M14" s="1"/>
      <c r="N14" s="1"/>
    </row>
    <row r="15" ht="21.75" customHeight="1">
      <c r="A15" s="34" t="s">
        <v>23</v>
      </c>
      <c r="B15" s="35"/>
      <c r="C15" s="38" t="str">
        <f>M11</f>
        <v>100.00%</v>
      </c>
      <c r="D15" s="35"/>
      <c r="E15" s="35"/>
      <c r="F15" s="35"/>
      <c r="G15" s="35"/>
      <c r="H15" s="36"/>
      <c r="I15" s="36"/>
      <c r="J15" s="37"/>
      <c r="K15" s="1"/>
      <c r="L15" s="1"/>
      <c r="M15" s="1"/>
      <c r="N15" s="1"/>
    </row>
    <row r="1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ht="21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ht="12.75" customHeight="1">
      <c r="A19" s="39" t="s">
        <v>24</v>
      </c>
      <c r="B19" s="1"/>
      <c r="C19" s="1"/>
      <c r="D19" s="1"/>
      <c r="E19" s="1"/>
      <c r="F19" s="1"/>
      <c r="G19" s="1"/>
      <c r="H19" s="1"/>
      <c r="I19" s="39" t="s">
        <v>25</v>
      </c>
      <c r="J19" s="1"/>
      <c r="K19" s="1"/>
      <c r="L19" s="1"/>
      <c r="M19" s="1"/>
      <c r="N19" s="1"/>
    </row>
    <row r="20" ht="21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ht="21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  <row r="31" ht="21.75" customHeight="1"/>
    <row r="32" ht="21.75" customHeight="1"/>
    <row r="33" ht="21.75" customHeight="1"/>
    <row r="34" ht="21.75" customHeight="1"/>
    <row r="35" ht="21.75" customHeight="1"/>
    <row r="36" ht="21.75" customHeight="1"/>
    <row r="37" ht="21.75" customHeight="1"/>
    <row r="38" ht="21.75" customHeight="1"/>
    <row r="39" ht="21.75" customHeight="1"/>
    <row r="40" ht="21.75" customHeight="1"/>
    <row r="41" ht="21.75" customHeight="1"/>
    <row r="42" ht="21.75" customHeight="1"/>
    <row r="43" ht="21.75" customHeight="1"/>
    <row r="44" ht="21.75" customHeight="1"/>
    <row r="45" ht="21.75" customHeight="1"/>
    <row r="46" ht="21.75" customHeight="1"/>
    <row r="47" ht="21.75" customHeight="1"/>
    <row r="48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</sheetData>
  <mergeCells count="20">
    <mergeCell ref="J7:J10"/>
    <mergeCell ref="M7:M10"/>
    <mergeCell ref="K7:K10"/>
    <mergeCell ref="L7:L10"/>
    <mergeCell ref="E12:G12"/>
    <mergeCell ref="E13:G13"/>
    <mergeCell ref="C7:C10"/>
    <mergeCell ref="D8:D10"/>
    <mergeCell ref="E8:E10"/>
    <mergeCell ref="F8:F10"/>
    <mergeCell ref="G8:G10"/>
    <mergeCell ref="H7:H10"/>
    <mergeCell ref="A2:J2"/>
    <mergeCell ref="G14:I14"/>
    <mergeCell ref="A7:A10"/>
    <mergeCell ref="B7:B10"/>
    <mergeCell ref="D7:G7"/>
    <mergeCell ref="H13:I13"/>
    <mergeCell ref="H12:I12"/>
    <mergeCell ref="I7:I10"/>
  </mergeCells>
  <printOptions/>
  <pageMargins bottom="0.55" footer="0.0" header="0.0" left="0.75" right="0.75" top="0.62"/>
  <pageSetup scale="84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5.0"/>
    <col customWidth="1" min="3" max="3" width="14.29"/>
    <col customWidth="1" min="4" max="7" width="12.86"/>
    <col customWidth="1" min="8" max="8" width="12.71"/>
    <col customWidth="1" min="9" max="9" width="12.86"/>
    <col customWidth="1" min="10" max="10" width="29.86"/>
    <col customWidth="1" min="11" max="20" width="12.86"/>
  </cols>
  <sheetData>
    <row r="1" ht="21.75" customHeight="1">
      <c r="A1" s="40" t="s">
        <v>26</v>
      </c>
      <c r="K1" s="41"/>
      <c r="L1" s="41"/>
      <c r="M1" s="41"/>
      <c r="N1" s="41"/>
      <c r="O1" s="41"/>
      <c r="P1" s="41"/>
      <c r="Q1" s="41"/>
      <c r="R1" s="41"/>
      <c r="S1" s="41"/>
      <c r="T1" s="41"/>
    </row>
    <row r="2" ht="21.75" customHeight="1">
      <c r="A2" s="4" t="s">
        <v>26</v>
      </c>
      <c r="B2" s="4"/>
      <c r="C2" s="4"/>
      <c r="D2" s="4"/>
      <c r="E2" s="4"/>
      <c r="F2" s="4"/>
      <c r="G2" s="4"/>
      <c r="H2" s="4"/>
      <c r="I2" s="4"/>
      <c r="J2" s="6" t="s">
        <v>27</v>
      </c>
      <c r="K2" s="41"/>
      <c r="L2" s="41"/>
      <c r="M2" s="41"/>
      <c r="N2" s="41"/>
      <c r="O2" s="41"/>
      <c r="P2" s="41"/>
      <c r="Q2" s="41"/>
      <c r="R2" s="41"/>
      <c r="S2" s="41"/>
      <c r="T2" s="41"/>
    </row>
    <row r="3" ht="21.75" customHeight="1">
      <c r="A3" s="42" t="s">
        <v>28</v>
      </c>
      <c r="K3" s="41"/>
      <c r="L3" s="41"/>
      <c r="M3" s="41"/>
      <c r="N3" s="41"/>
      <c r="O3" s="41"/>
      <c r="P3" s="41"/>
      <c r="Q3" s="41"/>
      <c r="R3" s="41"/>
      <c r="S3" s="41"/>
      <c r="T3" s="41"/>
    </row>
    <row r="4" ht="21.75" customHeight="1">
      <c r="A4" s="43"/>
      <c r="B4" s="43"/>
      <c r="C4" s="43"/>
      <c r="D4" s="43"/>
      <c r="E4" s="43"/>
      <c r="F4" s="43"/>
      <c r="G4" s="43"/>
      <c r="H4" s="43"/>
      <c r="I4" s="43"/>
      <c r="J4" s="44"/>
      <c r="K4" s="41"/>
      <c r="L4" s="41"/>
      <c r="M4" s="41"/>
      <c r="N4" s="41"/>
      <c r="O4" s="41"/>
      <c r="P4" s="41"/>
      <c r="Q4" s="41"/>
      <c r="R4" s="41"/>
      <c r="S4" s="41"/>
      <c r="T4" s="41"/>
    </row>
    <row r="5" ht="21.75" customHeight="1">
      <c r="A5" s="4" t="s">
        <v>29</v>
      </c>
      <c r="B5" s="4"/>
      <c r="C5" s="4"/>
      <c r="D5" s="4"/>
      <c r="E5" s="4"/>
      <c r="F5" s="4"/>
      <c r="G5" s="4"/>
      <c r="H5" s="4" t="s">
        <v>30</v>
      </c>
      <c r="I5" s="45" t="s">
        <v>31</v>
      </c>
      <c r="J5" s="4"/>
      <c r="K5" s="41"/>
      <c r="L5" s="41"/>
      <c r="M5" s="41"/>
      <c r="N5" s="41"/>
      <c r="O5" s="41"/>
      <c r="P5" s="41"/>
      <c r="Q5" s="41"/>
      <c r="R5" s="41"/>
      <c r="S5" s="41"/>
      <c r="T5" s="41"/>
    </row>
    <row r="6" ht="21.75" customHeight="1">
      <c r="A6" s="4" t="s">
        <v>32</v>
      </c>
      <c r="B6" s="4"/>
      <c r="C6" s="2" t="s">
        <v>33</v>
      </c>
      <c r="D6" s="4"/>
      <c r="E6" s="4" t="s">
        <v>34</v>
      </c>
      <c r="F6" s="2" t="s">
        <v>35</v>
      </c>
      <c r="G6" s="4"/>
      <c r="H6" s="5"/>
      <c r="I6" s="6"/>
      <c r="J6" s="4"/>
      <c r="K6" s="41"/>
      <c r="L6" s="41"/>
      <c r="M6" s="41"/>
      <c r="N6" s="41"/>
      <c r="O6" s="41"/>
      <c r="P6" s="41"/>
      <c r="Q6" s="41"/>
      <c r="R6" s="41"/>
      <c r="S6" s="41"/>
      <c r="T6" s="41"/>
    </row>
    <row r="7" ht="21.75" customHeight="1">
      <c r="A7" s="4" t="s">
        <v>36</v>
      </c>
      <c r="B7" s="4"/>
      <c r="C7" s="2" t="s">
        <v>37</v>
      </c>
      <c r="D7" s="4"/>
      <c r="E7" s="4"/>
      <c r="F7" s="4"/>
      <c r="G7" s="4"/>
      <c r="H7" s="4"/>
      <c r="I7" s="4"/>
      <c r="J7" s="4"/>
      <c r="K7" s="41"/>
      <c r="L7" s="41"/>
      <c r="M7" s="41"/>
      <c r="N7" s="41"/>
      <c r="O7" s="41"/>
      <c r="P7" s="41"/>
      <c r="Q7" s="41"/>
      <c r="R7" s="41"/>
      <c r="S7" s="41"/>
      <c r="T7" s="41"/>
    </row>
    <row r="8" ht="21.75" customHeight="1">
      <c r="A8" s="4" t="s">
        <v>38</v>
      </c>
      <c r="B8" s="4"/>
      <c r="C8" s="4"/>
      <c r="D8" s="4"/>
      <c r="E8" s="4"/>
      <c r="F8" s="4"/>
      <c r="G8" s="4"/>
      <c r="H8" s="4"/>
      <c r="I8" s="4"/>
      <c r="J8" s="4"/>
      <c r="K8" s="41"/>
      <c r="L8" s="41"/>
      <c r="M8" s="41"/>
      <c r="N8" s="41"/>
      <c r="O8" s="41"/>
      <c r="P8" s="41"/>
      <c r="Q8" s="41"/>
      <c r="R8" s="41"/>
      <c r="S8" s="41"/>
      <c r="T8" s="41"/>
    </row>
    <row r="9" ht="21.75" customHeight="1">
      <c r="A9" s="4" t="s">
        <v>39</v>
      </c>
      <c r="B9" s="4"/>
      <c r="C9" s="2" t="s">
        <v>40</v>
      </c>
      <c r="D9" s="4"/>
      <c r="E9" s="4"/>
      <c r="F9" s="4"/>
      <c r="G9" s="4"/>
      <c r="H9" s="4"/>
      <c r="I9" s="4"/>
      <c r="J9" s="4"/>
      <c r="K9" s="41"/>
      <c r="L9" s="41"/>
      <c r="M9" s="41"/>
      <c r="N9" s="41"/>
      <c r="O9" s="41"/>
      <c r="P9" s="41"/>
      <c r="Q9" s="41"/>
      <c r="R9" s="41"/>
      <c r="S9" s="41"/>
      <c r="T9" s="41"/>
    </row>
    <row r="10" ht="21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1"/>
      <c r="L10" s="41"/>
      <c r="M10" s="41"/>
      <c r="N10" s="41"/>
      <c r="O10" s="41"/>
      <c r="P10" s="41"/>
      <c r="Q10" s="41"/>
      <c r="R10" s="41"/>
      <c r="S10" s="41"/>
      <c r="T10" s="41"/>
    </row>
    <row r="11" ht="69.75" customHeight="1">
      <c r="A11" s="46" t="s">
        <v>41</v>
      </c>
      <c r="B11" s="47" t="s">
        <v>42</v>
      </c>
      <c r="C11" s="47" t="s">
        <v>43</v>
      </c>
      <c r="D11" s="47" t="s">
        <v>44</v>
      </c>
      <c r="E11" s="47" t="s">
        <v>45</v>
      </c>
      <c r="F11" s="47" t="s">
        <v>46</v>
      </c>
      <c r="G11" s="47" t="s">
        <v>47</v>
      </c>
      <c r="H11" s="47" t="s">
        <v>48</v>
      </c>
      <c r="I11" s="47" t="s">
        <v>49</v>
      </c>
      <c r="J11" s="47" t="s">
        <v>50</v>
      </c>
      <c r="K11" s="41"/>
      <c r="L11" s="41"/>
      <c r="M11" s="41"/>
      <c r="N11" s="41"/>
      <c r="O11" s="41"/>
      <c r="P11" s="41"/>
      <c r="Q11" s="41"/>
      <c r="R11" s="41"/>
      <c r="S11" s="41"/>
      <c r="T11" s="41"/>
    </row>
    <row r="12" ht="21.75" customHeight="1">
      <c r="A12" s="48">
        <v>1.0</v>
      </c>
      <c r="B12" s="49" t="s">
        <v>51</v>
      </c>
      <c r="C12" s="49">
        <v>70.0</v>
      </c>
      <c r="D12" s="49">
        <v>62.0</v>
      </c>
      <c r="E12" s="49">
        <v>28.0</v>
      </c>
      <c r="F12" s="49">
        <v>23.0</v>
      </c>
      <c r="G12" s="49">
        <v>6.0</v>
      </c>
      <c r="H12" s="49">
        <v>5.0</v>
      </c>
      <c r="I12" s="50" t="str">
        <f t="shared" ref="I12:I15" si="1">D12/C12</f>
        <v>88.57%</v>
      </c>
      <c r="J12" s="51" t="s">
        <v>52</v>
      </c>
      <c r="K12" s="41"/>
      <c r="L12" s="41"/>
      <c r="M12" s="52"/>
      <c r="N12" s="53"/>
      <c r="O12" s="52"/>
      <c r="P12" s="52"/>
      <c r="Q12" s="52"/>
      <c r="R12" s="52"/>
      <c r="S12" s="54"/>
      <c r="T12" s="55"/>
    </row>
    <row r="13" ht="21.75" customHeight="1">
      <c r="A13" s="48">
        <v>2.0</v>
      </c>
      <c r="B13" s="49" t="s">
        <v>53</v>
      </c>
      <c r="C13" s="49">
        <v>70.0</v>
      </c>
      <c r="D13" s="49">
        <v>53.0</v>
      </c>
      <c r="E13" s="49">
        <v>10.0</v>
      </c>
      <c r="F13" s="49">
        <v>17.0</v>
      </c>
      <c r="G13" s="49">
        <v>10.0</v>
      </c>
      <c r="H13" s="49">
        <v>16.0</v>
      </c>
      <c r="I13" s="50" t="str">
        <f t="shared" si="1"/>
        <v>75.71%</v>
      </c>
      <c r="J13" s="51" t="s">
        <v>54</v>
      </c>
      <c r="K13" s="41"/>
      <c r="L13" s="41"/>
      <c r="M13" s="52"/>
      <c r="N13" s="53"/>
      <c r="O13" s="52"/>
      <c r="P13" s="52"/>
      <c r="Q13" s="52"/>
      <c r="R13" s="52"/>
      <c r="S13" s="54"/>
      <c r="T13" s="56"/>
    </row>
    <row r="14" ht="21.75" customHeight="1">
      <c r="A14" s="48">
        <v>3.0</v>
      </c>
      <c r="B14" s="49" t="s">
        <v>55</v>
      </c>
      <c r="C14" s="49">
        <v>71.0</v>
      </c>
      <c r="D14" s="49">
        <v>54.0</v>
      </c>
      <c r="E14" s="49">
        <v>11.0</v>
      </c>
      <c r="F14" s="49">
        <v>13.0</v>
      </c>
      <c r="G14" s="49">
        <v>9.0</v>
      </c>
      <c r="H14" s="49">
        <v>21.0</v>
      </c>
      <c r="I14" s="50" t="str">
        <f t="shared" si="1"/>
        <v>76.06%</v>
      </c>
      <c r="J14" s="51" t="s">
        <v>56</v>
      </c>
      <c r="K14" s="41"/>
      <c r="L14" s="41"/>
      <c r="M14" s="52"/>
      <c r="N14" s="53"/>
      <c r="O14" s="52"/>
      <c r="P14" s="52"/>
      <c r="Q14" s="52"/>
      <c r="R14" s="52"/>
      <c r="S14" s="54"/>
      <c r="T14" s="56"/>
    </row>
    <row r="15" ht="21.75" customHeight="1">
      <c r="A15" s="48">
        <v>4.0</v>
      </c>
      <c r="B15" s="49" t="s">
        <v>57</v>
      </c>
      <c r="C15" s="49">
        <v>71.0</v>
      </c>
      <c r="D15" s="49">
        <v>60.0</v>
      </c>
      <c r="E15" s="49">
        <v>14.0</v>
      </c>
      <c r="F15" s="49">
        <v>9.0</v>
      </c>
      <c r="G15" s="49">
        <v>14.0</v>
      </c>
      <c r="H15" s="49">
        <v>23.0</v>
      </c>
      <c r="I15" s="50" t="str">
        <f t="shared" si="1"/>
        <v>84.51%</v>
      </c>
      <c r="J15" s="51" t="s">
        <v>58</v>
      </c>
      <c r="K15" s="41"/>
      <c r="L15" s="41"/>
      <c r="M15" s="52"/>
      <c r="N15" s="53"/>
      <c r="O15" s="52"/>
      <c r="P15" s="52"/>
      <c r="Q15" s="52"/>
      <c r="R15" s="52"/>
      <c r="S15" s="54"/>
      <c r="T15" s="56"/>
    </row>
    <row r="16" ht="21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1"/>
      <c r="L16" s="41"/>
      <c r="M16" s="41"/>
      <c r="N16" s="41"/>
      <c r="O16" s="41"/>
      <c r="P16" s="41"/>
      <c r="Q16" s="41"/>
      <c r="R16" s="41"/>
      <c r="S16" s="41"/>
      <c r="T16" s="41"/>
    </row>
    <row r="17" ht="21.75" customHeight="1">
      <c r="A17" s="2" t="s">
        <v>59</v>
      </c>
      <c r="B17" s="2"/>
      <c r="C17" s="2"/>
      <c r="D17" s="2"/>
      <c r="E17" s="2"/>
      <c r="F17" s="2"/>
      <c r="G17" s="2"/>
      <c r="H17" s="2"/>
      <c r="I17" s="2" t="s">
        <v>25</v>
      </c>
      <c r="J17" s="4"/>
      <c r="K17" s="41"/>
      <c r="L17" s="41"/>
      <c r="M17" s="41"/>
      <c r="N17" s="41"/>
      <c r="O17" s="41"/>
      <c r="P17" s="41"/>
      <c r="Q17" s="41"/>
      <c r="R17" s="41"/>
      <c r="S17" s="41"/>
      <c r="T17" s="41"/>
    </row>
    <row r="18" ht="21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1"/>
      <c r="L18" s="41"/>
      <c r="M18" s="41"/>
      <c r="N18" s="41"/>
      <c r="O18" s="41"/>
      <c r="P18" s="41"/>
      <c r="Q18" s="41"/>
      <c r="R18" s="41"/>
      <c r="S18" s="41"/>
      <c r="T18" s="41"/>
    </row>
    <row r="19" ht="21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1"/>
      <c r="L19" s="41"/>
      <c r="M19" s="41"/>
      <c r="N19" s="41"/>
      <c r="O19" s="41"/>
      <c r="P19" s="41"/>
      <c r="Q19" s="41"/>
      <c r="R19" s="41"/>
      <c r="S19" s="41"/>
      <c r="T19" s="41"/>
    </row>
    <row r="20" ht="21.75" customHeight="1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</row>
    <row r="21" ht="21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</row>
    <row r="22" ht="21.75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</row>
    <row r="23" ht="21.75" customHeight="1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</row>
    <row r="24" ht="21.75" customHeight="1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</row>
    <row r="25" ht="21.75" customHeight="1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</row>
    <row r="26" ht="21.75" customHeight="1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</row>
    <row r="27" ht="21.75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</row>
    <row r="28" ht="21.75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</row>
    <row r="29" ht="21.75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</row>
    <row r="30" ht="21.75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</row>
    <row r="31" ht="21.75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</row>
    <row r="32" ht="21.75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</row>
    <row r="33" ht="21.7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</row>
    <row r="34" ht="21.7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</row>
    <row r="35" ht="21.7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</row>
    <row r="36" ht="21.7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</row>
    <row r="37" ht="21.75" customHeight="1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</row>
    <row r="38" ht="21.75" customHeight="1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</row>
    <row r="39" ht="21.75" customHeigh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</row>
    <row r="40" ht="21.75" customHeight="1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</row>
    <row r="41" ht="21.75" customHeight="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</row>
    <row r="42" ht="21.75" customHeight="1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</row>
    <row r="43" ht="21.75" customHeight="1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</row>
    <row r="44" ht="21.75" customHeight="1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</row>
    <row r="45" ht="21.75" customHeight="1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</row>
    <row r="46" ht="21.75" customHeight="1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</row>
    <row r="47" ht="21.75" customHeight="1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</row>
    <row r="48" ht="21.75" customHeight="1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</row>
    <row r="49" ht="21.75" customHeight="1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</row>
    <row r="50" ht="21.75" customHeight="1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</row>
    <row r="51" ht="21.75" customHeight="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</row>
    <row r="52" ht="21.75" customHeight="1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</row>
    <row r="53" ht="21.75" customHeight="1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</row>
    <row r="54" ht="21.75" customHeight="1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</row>
    <row r="55" ht="21.75" customHeight="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</row>
    <row r="56" ht="21.75" customHeight="1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</row>
    <row r="57" ht="21.75" customHeigh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</row>
    <row r="58" ht="21.75" customHeight="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</row>
    <row r="59" ht="21.75" customHeigh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</row>
    <row r="60" ht="21.75" customHeigh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</row>
    <row r="61" ht="21.75" customHeigh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</row>
    <row r="62" ht="21.75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</row>
    <row r="63" ht="21.75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</row>
    <row r="64" ht="21.75" customHeigh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</row>
    <row r="65" ht="21.75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</row>
    <row r="66" ht="21.75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</row>
    <row r="67" ht="21.75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</row>
    <row r="68" ht="21.75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</row>
    <row r="69" ht="21.7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</row>
    <row r="70" ht="21.75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</row>
    <row r="71" ht="21.75" customHeight="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</row>
    <row r="72" ht="21.75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</row>
    <row r="73" ht="21.75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</row>
    <row r="74" ht="21.75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</row>
    <row r="75" ht="21.75" customHeight="1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</row>
    <row r="76" ht="21.75" customHeight="1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</row>
    <row r="77" ht="21.75" customHeight="1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</row>
    <row r="78" ht="21.75" customHeight="1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</row>
    <row r="79" ht="21.75" customHeight="1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</row>
    <row r="80" ht="21.75" customHeight="1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</row>
    <row r="81" ht="21.75" customHeight="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</row>
    <row r="82" ht="21.75" customHeight="1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</row>
    <row r="83" ht="21.75" customHeight="1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</row>
    <row r="84" ht="21.75" customHeight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</row>
    <row r="85" ht="21.75" customHeight="1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</row>
    <row r="86" ht="21.75" customHeight="1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</row>
    <row r="87" ht="21.75" customHeight="1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</row>
    <row r="88" ht="21.75" customHeight="1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</row>
    <row r="89" ht="21.75" customHeight="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</row>
    <row r="90" ht="21.75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</row>
    <row r="91" ht="21.75" customHeight="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</row>
    <row r="92" ht="21.75" customHeight="1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</row>
    <row r="93" ht="21.75" customHeight="1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</row>
    <row r="94" ht="21.75" customHeight="1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</row>
    <row r="95" ht="21.75" customHeight="1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</row>
    <row r="96" ht="21.75" customHeight="1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</row>
    <row r="97" ht="21.75" customHeight="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</row>
    <row r="98" ht="21.75" customHeight="1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</row>
    <row r="99" ht="15.75" customHeight="1"/>
    <row r="100" ht="15.75" customHeight="1"/>
  </sheetData>
  <mergeCells count="2">
    <mergeCell ref="A1:J1"/>
    <mergeCell ref="A3:J3"/>
  </mergeCells>
  <printOptions horizontalCentered="1" verticalCentered="1"/>
  <pageMargins bottom="0.0" footer="0.0" header="0.0" left="0.0" right="0.0" top="0.0"/>
  <pageSetup scale="86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38.14"/>
    <col customWidth="1" min="3" max="4" width="13.71"/>
    <col customWidth="1" min="5" max="5" width="12.86"/>
    <col customWidth="1" min="6" max="9" width="9.14"/>
    <col customWidth="1" min="10" max="11" width="8.71"/>
  </cols>
  <sheetData>
    <row r="1" ht="35.25" customHeight="1">
      <c r="A1" s="57" t="s">
        <v>60</v>
      </c>
      <c r="F1" s="58"/>
      <c r="G1" s="58"/>
      <c r="H1" s="58"/>
      <c r="I1" s="58"/>
      <c r="J1" s="58"/>
      <c r="K1" s="58"/>
    </row>
    <row r="2" ht="26.25" customHeight="1">
      <c r="A2" s="59" t="s">
        <v>61</v>
      </c>
      <c r="F2" s="58"/>
      <c r="G2" s="58"/>
      <c r="H2" s="58"/>
      <c r="I2" s="58"/>
      <c r="J2" s="58"/>
      <c r="K2" s="58"/>
    </row>
    <row r="3" ht="25.5" customHeight="1">
      <c r="A3" s="59" t="s">
        <v>62</v>
      </c>
      <c r="F3" s="60"/>
      <c r="G3" s="60"/>
      <c r="H3" s="60"/>
      <c r="I3" s="60"/>
      <c r="J3" s="60"/>
      <c r="K3" s="60"/>
    </row>
    <row r="4" ht="24.75" customHeight="1">
      <c r="A4" s="61" t="s">
        <v>63</v>
      </c>
      <c r="B4" s="62"/>
      <c r="C4" s="63"/>
      <c r="D4" s="64"/>
      <c r="E4" s="61"/>
      <c r="F4" s="60"/>
      <c r="G4" s="60"/>
      <c r="H4" s="60"/>
      <c r="I4" s="60"/>
      <c r="J4" s="60"/>
      <c r="K4" s="60"/>
    </row>
    <row r="5" ht="30.0" customHeight="1">
      <c r="A5" s="46" t="s">
        <v>41</v>
      </c>
      <c r="B5" s="46" t="s">
        <v>64</v>
      </c>
      <c r="C5" s="46" t="s">
        <v>65</v>
      </c>
      <c r="D5" s="46" t="s">
        <v>66</v>
      </c>
      <c r="E5" s="46" t="s">
        <v>67</v>
      </c>
      <c r="F5" s="4"/>
      <c r="G5" s="4"/>
      <c r="H5" s="4"/>
      <c r="I5" s="4"/>
      <c r="J5" s="4"/>
      <c r="K5" s="4"/>
    </row>
    <row r="6" ht="24.75" customHeight="1">
      <c r="A6" s="49">
        <v>1.0</v>
      </c>
      <c r="B6" s="65" t="s">
        <v>68</v>
      </c>
      <c r="C6" s="66">
        <v>850.0</v>
      </c>
      <c r="D6" s="67">
        <v>815.0</v>
      </c>
      <c r="E6" s="68" t="str">
        <f t="shared" ref="E6:E9" si="1">D6/C6</f>
        <v>95.88%</v>
      </c>
      <c r="F6" s="60"/>
      <c r="G6" s="60"/>
      <c r="H6" s="60"/>
      <c r="I6" s="60"/>
      <c r="J6" s="60"/>
      <c r="K6" s="60"/>
    </row>
    <row r="7" ht="24.75" customHeight="1">
      <c r="A7" s="49">
        <v>1.0</v>
      </c>
      <c r="B7" s="65" t="s">
        <v>69</v>
      </c>
      <c r="C7" s="66">
        <v>850.0</v>
      </c>
      <c r="D7" s="67">
        <v>815.0</v>
      </c>
      <c r="E7" s="68" t="str">
        <f t="shared" si="1"/>
        <v>95.88%</v>
      </c>
      <c r="F7" s="60"/>
      <c r="G7" s="60"/>
      <c r="H7" s="60"/>
      <c r="I7" s="60"/>
      <c r="J7" s="60"/>
      <c r="K7" s="60"/>
    </row>
    <row r="8" ht="24.75" customHeight="1">
      <c r="A8" s="49">
        <v>2.0</v>
      </c>
      <c r="B8" s="69" t="s">
        <v>70</v>
      </c>
      <c r="C8" s="66">
        <v>850.0</v>
      </c>
      <c r="D8" s="67">
        <v>789.0</v>
      </c>
      <c r="E8" s="68" t="str">
        <f t="shared" si="1"/>
        <v>92.82%</v>
      </c>
      <c r="F8" s="60"/>
      <c r="G8" s="60"/>
      <c r="H8" s="60"/>
      <c r="I8" s="60"/>
      <c r="J8" s="60"/>
      <c r="K8" s="60"/>
    </row>
    <row r="9" ht="24.75" customHeight="1">
      <c r="A9" s="49">
        <v>3.0</v>
      </c>
      <c r="B9" s="69" t="s">
        <v>71</v>
      </c>
      <c r="C9" s="66">
        <v>850.0</v>
      </c>
      <c r="D9" s="67">
        <v>776.0</v>
      </c>
      <c r="E9" s="68" t="str">
        <f t="shared" si="1"/>
        <v>91.29%</v>
      </c>
      <c r="F9" s="60"/>
    </row>
    <row r="10" ht="18.0" customHeight="1">
      <c r="A10" s="60"/>
      <c r="B10" s="60"/>
      <c r="C10" s="60"/>
      <c r="D10" s="60"/>
      <c r="E10" s="60"/>
      <c r="F10" s="60"/>
    </row>
    <row r="11" ht="18.0" customHeight="1">
      <c r="A11" s="70"/>
      <c r="B11" s="70"/>
      <c r="C11" s="70"/>
      <c r="D11" s="70"/>
      <c r="E11" s="70"/>
      <c r="F11" s="70"/>
    </row>
    <row r="12" ht="18.0" customHeight="1">
      <c r="A12" s="70"/>
      <c r="B12" s="70"/>
      <c r="C12" s="70"/>
      <c r="D12" s="70"/>
      <c r="E12" s="70"/>
      <c r="F12" s="70"/>
      <c r="G12" s="70"/>
      <c r="H12" s="70"/>
      <c r="I12" s="70"/>
      <c r="J12" s="70"/>
      <c r="K12" s="70"/>
    </row>
    <row r="13" ht="18.0" customHeight="1">
      <c r="A13" s="70"/>
      <c r="B13" s="70"/>
      <c r="C13" s="70"/>
      <c r="D13" s="70"/>
      <c r="E13" s="70"/>
      <c r="F13" s="70"/>
      <c r="G13" s="70"/>
      <c r="H13" s="70"/>
      <c r="I13" s="70"/>
      <c r="J13" s="70"/>
      <c r="K13" s="70"/>
    </row>
    <row r="14" ht="18.0" customHeight="1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70"/>
    </row>
    <row r="15" ht="18.0" customHeight="1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</row>
    <row r="16" ht="18.0" customHeight="1">
      <c r="A16" s="70"/>
      <c r="B16" s="70"/>
      <c r="C16" s="70"/>
      <c r="D16" s="70"/>
      <c r="E16" s="70"/>
      <c r="F16" s="70"/>
      <c r="G16" s="70"/>
      <c r="H16" s="70"/>
      <c r="I16" s="70"/>
      <c r="J16" s="70"/>
      <c r="K16" s="70"/>
    </row>
    <row r="17" ht="18.0" customHeight="1">
      <c r="A17" s="70"/>
      <c r="B17" s="70"/>
      <c r="C17" s="70"/>
      <c r="D17" s="70"/>
      <c r="E17" s="70"/>
      <c r="F17" s="70"/>
      <c r="G17" s="70"/>
      <c r="H17" s="70"/>
      <c r="I17" s="70"/>
      <c r="J17" s="70"/>
      <c r="K17" s="70"/>
    </row>
    <row r="18" ht="18.0" customHeight="1">
      <c r="A18" s="70"/>
      <c r="B18" s="70"/>
      <c r="C18" s="70"/>
      <c r="D18" s="70"/>
      <c r="E18" s="70"/>
      <c r="F18" s="70"/>
      <c r="G18" s="70"/>
      <c r="H18" s="70"/>
      <c r="I18" s="70"/>
      <c r="J18" s="70"/>
      <c r="K18" s="70"/>
    </row>
    <row r="19" ht="18.0" customHeight="1">
      <c r="A19" s="70"/>
      <c r="B19" s="70"/>
      <c r="C19" s="70"/>
      <c r="D19" s="70"/>
      <c r="E19" s="70"/>
      <c r="F19" s="70"/>
      <c r="G19" s="70"/>
      <c r="H19" s="70"/>
      <c r="I19" s="70"/>
      <c r="J19" s="70"/>
      <c r="K19" s="70"/>
    </row>
    <row r="20" ht="18.0" customHeight="1">
      <c r="A20" s="70"/>
      <c r="B20" s="70"/>
      <c r="C20" s="70"/>
      <c r="D20" s="70"/>
      <c r="E20" s="70"/>
      <c r="F20" s="70"/>
      <c r="G20" s="70"/>
      <c r="H20" s="70"/>
      <c r="I20" s="70"/>
      <c r="J20" s="70"/>
      <c r="K20" s="70"/>
    </row>
    <row r="21" ht="18.0" customHeight="1">
      <c r="A21" s="70"/>
      <c r="B21" s="70"/>
      <c r="C21" s="70"/>
      <c r="D21" s="70"/>
      <c r="E21" s="70"/>
      <c r="F21" s="70"/>
      <c r="G21" s="70"/>
      <c r="H21" s="70"/>
      <c r="I21" s="70"/>
      <c r="J21" s="70"/>
      <c r="K21" s="70"/>
    </row>
    <row r="22" ht="18.0" customHeight="1">
      <c r="A22" s="70"/>
      <c r="B22" s="70"/>
      <c r="C22" s="70"/>
      <c r="D22" s="70"/>
      <c r="E22" s="70"/>
      <c r="F22" s="70"/>
      <c r="G22" s="70"/>
      <c r="H22" s="70"/>
      <c r="I22" s="70"/>
      <c r="J22" s="70"/>
      <c r="K22" s="70"/>
    </row>
    <row r="23" ht="18.0" customHeight="1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0"/>
    </row>
    <row r="24" ht="18.0" customHeight="1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</row>
    <row r="25" ht="18.0" customHeight="1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70"/>
    </row>
    <row r="26" ht="18.0" customHeight="1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</row>
    <row r="27" ht="18.0" customHeight="1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</row>
    <row r="28" ht="18.0" customHeight="1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</row>
    <row r="29" ht="18.0" customHeight="1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</row>
    <row r="30" ht="18.0" customHeight="1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</row>
    <row r="31" ht="18.0" customHeight="1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</row>
    <row r="32" ht="18.0" customHeight="1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</row>
    <row r="33" ht="18.0" customHeight="1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</row>
    <row r="34" ht="18.0" customHeight="1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</row>
    <row r="35" ht="18.0" customHeight="1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</row>
    <row r="36" ht="18.0" customHeight="1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</row>
    <row r="37" ht="18.0" customHeight="1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</row>
    <row r="38" ht="18.0" customHeight="1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</row>
    <row r="39" ht="18.0" customHeight="1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</row>
    <row r="40" ht="18.0" customHeight="1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</row>
    <row r="41" ht="18.0" customHeight="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</row>
    <row r="42" ht="18.0" customHeight="1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</row>
    <row r="43" ht="18.0" customHeight="1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</row>
    <row r="44" ht="18.0" customHeight="1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</row>
    <row r="45" ht="18.0" customHeight="1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</row>
    <row r="46" ht="18.0" customHeight="1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</row>
    <row r="47" ht="18.0" customHeight="1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</row>
    <row r="48" ht="18.0" customHeight="1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</row>
    <row r="49" ht="18.0" customHeight="1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</row>
    <row r="50" ht="18.0" customHeight="1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</row>
    <row r="51" ht="18.0" customHeight="1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</row>
    <row r="52" ht="18.0" customHeight="1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</row>
    <row r="53" ht="18.0" customHeight="1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</row>
    <row r="54" ht="18.0" customHeight="1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</row>
    <row r="55" ht="18.0" customHeight="1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</row>
    <row r="56" ht="18.0" customHeight="1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</row>
    <row r="57" ht="18.0" customHeight="1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</row>
    <row r="58" ht="18.0" customHeight="1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</row>
    <row r="59" ht="18.0" customHeight="1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</row>
    <row r="60" ht="18.0" customHeight="1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</row>
    <row r="61" ht="18.0" customHeight="1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</row>
    <row r="62" ht="18.0" customHeight="1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</row>
    <row r="63" ht="18.0" customHeight="1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</row>
    <row r="64" ht="18.0" customHeight="1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</row>
    <row r="65" ht="18.0" customHeight="1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</row>
    <row r="66" ht="18.0" customHeight="1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</row>
    <row r="67" ht="18.0" customHeight="1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</row>
    <row r="68" ht="18.0" customHeight="1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</row>
    <row r="69" ht="18.0" customHeight="1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</row>
    <row r="70" ht="18.0" customHeight="1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</row>
    <row r="71" ht="18.0" customHeight="1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</row>
    <row r="72" ht="18.0" customHeight="1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</row>
    <row r="73" ht="18.0" customHeight="1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</row>
    <row r="74" ht="18.0" customHeight="1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</row>
    <row r="75" ht="18.0" customHeight="1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</row>
    <row r="76" ht="18.0" customHeight="1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</row>
    <row r="77" ht="18.0" customHeight="1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</row>
    <row r="78" ht="18.0" customHeight="1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</row>
    <row r="79" ht="18.0" customHeight="1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</row>
    <row r="80" ht="18.0" customHeight="1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</row>
    <row r="81" ht="18.0" customHeight="1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</row>
    <row r="82" ht="18.0" customHeight="1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</row>
    <row r="83" ht="18.0" customHeight="1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</row>
    <row r="84" ht="18.0" customHeight="1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</row>
    <row r="85" ht="18.0" customHeight="1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</row>
    <row r="86" ht="18.0" customHeight="1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</row>
    <row r="87" ht="18.0" customHeight="1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</row>
    <row r="88" ht="18.0" customHeight="1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</row>
    <row r="89" ht="18.0" customHeight="1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</row>
    <row r="90" ht="18.0" customHeight="1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</row>
    <row r="91" ht="18.0" customHeight="1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</row>
    <row r="92" ht="18.0" customHeight="1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</row>
    <row r="93" ht="18.0" customHeight="1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</row>
    <row r="94" ht="18.0" customHeight="1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</row>
    <row r="95" ht="18.0" customHeight="1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</row>
    <row r="96" ht="18.0" customHeight="1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</row>
    <row r="97" ht="18.0" customHeight="1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</row>
    <row r="98" ht="18.0" customHeight="1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</row>
    <row r="99" ht="18.0" customHeight="1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</row>
    <row r="100" ht="18.0" customHeight="1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</row>
    <row r="101" ht="18.0" customHeight="1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</row>
    <row r="102" ht="18.0" customHeight="1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</row>
    <row r="103" ht="18.0" customHeight="1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</row>
    <row r="104" ht="18.0" customHeight="1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</row>
    <row r="105" ht="18.0" customHeight="1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</row>
    <row r="106" ht="18.0" customHeight="1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</row>
    <row r="107" ht="18.0" customHeight="1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</row>
    <row r="108" ht="18.0" customHeight="1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</row>
    <row r="109" ht="18.0" customHeight="1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</row>
    <row r="110" ht="18.0" customHeight="1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</row>
    <row r="111" ht="18.0" customHeight="1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</row>
    <row r="112" ht="18.0" customHeight="1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</row>
    <row r="113" ht="18.0" customHeight="1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</row>
    <row r="114" ht="18.0" customHeight="1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</row>
    <row r="115" ht="18.0" customHeight="1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</row>
    <row r="116" ht="18.0" customHeight="1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</row>
    <row r="117" ht="18.0" customHeight="1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</row>
    <row r="118" ht="18.0" customHeight="1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</row>
    <row r="119" ht="18.0" customHeight="1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</row>
    <row r="120" ht="18.0" customHeight="1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</row>
    <row r="121" ht="18.0" customHeight="1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</row>
    <row r="122" ht="18.0" customHeight="1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</row>
    <row r="123" ht="18.0" customHeight="1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</row>
    <row r="124" ht="18.0" customHeight="1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</row>
    <row r="125" ht="18.0" customHeight="1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</row>
    <row r="126" ht="18.0" customHeight="1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</row>
    <row r="127" ht="18.0" customHeight="1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</row>
    <row r="128" ht="18.0" customHeight="1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</row>
    <row r="129" ht="18.0" customHeight="1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</row>
    <row r="130" ht="18.0" customHeight="1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</row>
    <row r="131" ht="18.0" customHeight="1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</row>
    <row r="132" ht="18.0" customHeight="1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</row>
    <row r="133" ht="18.0" customHeight="1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</row>
    <row r="134" ht="18.0" customHeight="1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</row>
    <row r="135" ht="18.0" customHeight="1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</row>
    <row r="136" ht="18.0" customHeight="1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</row>
    <row r="137" ht="18.0" customHeight="1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</row>
    <row r="138" ht="18.0" customHeight="1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</row>
    <row r="139" ht="18.0" customHeight="1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</row>
    <row r="140" ht="18.0" customHeight="1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</row>
    <row r="141" ht="18.0" customHeight="1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</row>
    <row r="142" ht="18.0" customHeight="1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</row>
    <row r="143" ht="18.0" customHeight="1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</row>
    <row r="144" ht="18.0" customHeight="1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</row>
    <row r="145" ht="18.0" customHeight="1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</row>
    <row r="146" ht="18.0" customHeight="1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</row>
    <row r="147" ht="18.0" customHeight="1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</row>
    <row r="148" ht="18.0" customHeight="1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</row>
    <row r="149" ht="18.0" customHeight="1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</row>
    <row r="150" ht="18.0" customHeight="1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</row>
    <row r="151" ht="18.0" customHeight="1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</row>
    <row r="152" ht="18.0" customHeight="1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</row>
    <row r="153" ht="18.0" customHeight="1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</row>
    <row r="154" ht="18.0" customHeight="1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</row>
    <row r="155" ht="18.0" customHeight="1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</row>
    <row r="156" ht="18.0" customHeight="1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</row>
    <row r="157" ht="18.0" customHeight="1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</row>
    <row r="158" ht="18.0" customHeight="1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</row>
    <row r="159" ht="18.0" customHeight="1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</row>
    <row r="160" ht="18.0" customHeight="1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</row>
    <row r="161" ht="18.0" customHeight="1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</row>
    <row r="162" ht="18.0" customHeight="1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</row>
    <row r="163" ht="18.0" customHeight="1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</row>
    <row r="164" ht="18.0" customHeight="1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</row>
    <row r="165" ht="18.0" customHeight="1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</row>
    <row r="166" ht="18.0" customHeight="1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</row>
    <row r="167" ht="18.0" customHeight="1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</row>
    <row r="168" ht="18.0" customHeight="1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</row>
    <row r="169" ht="18.0" customHeight="1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</row>
    <row r="170" ht="18.0" customHeight="1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</row>
    <row r="171" ht="18.0" customHeight="1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</row>
    <row r="172" ht="18.0" customHeight="1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</row>
    <row r="173" ht="18.0" customHeight="1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</row>
    <row r="174" ht="18.0" customHeight="1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</row>
    <row r="175" ht="18.0" customHeight="1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</row>
    <row r="176" ht="18.0" customHeight="1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</row>
    <row r="177" ht="18.0" customHeight="1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</row>
    <row r="178" ht="18.0" customHeight="1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</row>
    <row r="179" ht="18.0" customHeight="1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</row>
    <row r="180" ht="18.0" customHeight="1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</row>
    <row r="181" ht="18.0" customHeight="1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</row>
    <row r="182" ht="18.0" customHeight="1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</row>
    <row r="183" ht="18.0" customHeight="1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</row>
    <row r="184" ht="18.0" customHeight="1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</row>
    <row r="185" ht="18.0" customHeight="1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</row>
    <row r="186" ht="18.0" customHeight="1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</row>
    <row r="187" ht="18.0" customHeight="1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</row>
    <row r="188" ht="18.0" customHeight="1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</row>
    <row r="189" ht="18.0" customHeight="1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</row>
    <row r="190" ht="18.0" customHeight="1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</row>
    <row r="191" ht="18.0" customHeight="1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</row>
    <row r="192" ht="18.0" customHeight="1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</row>
    <row r="193" ht="18.0" customHeight="1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</row>
    <row r="194" ht="18.0" customHeight="1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</row>
    <row r="195" ht="18.0" customHeight="1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</row>
    <row r="196" ht="18.0" customHeight="1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</row>
  </sheetData>
  <mergeCells count="3">
    <mergeCell ref="A2:E2"/>
    <mergeCell ref="A3:E3"/>
    <mergeCell ref="A1:E1"/>
  </mergeCells>
  <printOptions horizontalCentered="1" verticalCentered="1"/>
  <pageMargins bottom="1.0" footer="0.0" header="0.0" left="0.75" right="0.75" top="0.0"/>
  <pageSetup orientation="landscape"/>
  <colBreaks count="1" manualBreakCount="1">
    <brk id="6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3.71"/>
    <col customWidth="1" min="3" max="3" width="11.57"/>
    <col customWidth="1" min="4" max="4" width="41.86"/>
    <col customWidth="1" min="5" max="5" width="8.0"/>
    <col customWidth="1" min="6" max="6" width="7.14"/>
    <col customWidth="1" min="7" max="7" width="6.71"/>
    <col customWidth="1" min="8" max="8" width="9.0"/>
    <col customWidth="1" min="9" max="9" width="8.14"/>
    <col customWidth="1" min="10" max="10" width="7.57"/>
    <col customWidth="1" min="11" max="11" width="7.71"/>
    <col customWidth="1" min="12" max="12" width="6.71"/>
    <col customWidth="1" min="13" max="13" width="9.71"/>
    <col customWidth="1" min="14" max="14" width="8.57"/>
    <col customWidth="1" min="15" max="15" width="8.14"/>
    <col customWidth="1" min="16" max="18" width="6.71"/>
    <col customWidth="1" min="19" max="19" width="8.0"/>
    <col customWidth="1" min="20" max="20" width="8.43"/>
    <col customWidth="1" min="21" max="24" width="6.71"/>
    <col customWidth="1" min="25" max="25" width="9.14"/>
    <col customWidth="1" min="26" max="27" width="7.57"/>
    <col customWidth="1" min="28" max="28" width="8.43"/>
    <col customWidth="1" min="29" max="29" width="7.29"/>
    <col customWidth="1" min="30" max="30" width="6.71"/>
    <col customWidth="1" min="31" max="31" width="9.0"/>
    <col customWidth="1" min="32" max="32" width="18.57"/>
    <col customWidth="1" min="33" max="33" width="31.71"/>
    <col customWidth="1" min="34" max="43" width="8.71"/>
  </cols>
  <sheetData>
    <row r="1" ht="37.5" customHeight="1">
      <c r="A1" s="71" t="s">
        <v>72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</row>
    <row r="2" ht="15.75" customHeight="1">
      <c r="A2" s="73" t="s">
        <v>73</v>
      </c>
      <c r="B2" s="47" t="s">
        <v>74</v>
      </c>
      <c r="C2" s="47" t="s">
        <v>75</v>
      </c>
      <c r="D2" s="47" t="s">
        <v>76</v>
      </c>
      <c r="E2" s="74" t="s">
        <v>77</v>
      </c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47" t="s">
        <v>78</v>
      </c>
      <c r="AF2" s="47" t="s">
        <v>79</v>
      </c>
      <c r="AG2" s="47" t="s">
        <v>80</v>
      </c>
      <c r="AH2" s="76"/>
      <c r="AI2" s="76"/>
      <c r="AJ2" s="76"/>
      <c r="AK2" s="76"/>
      <c r="AL2" s="76"/>
      <c r="AM2" s="76"/>
      <c r="AN2" s="76"/>
      <c r="AO2" s="76"/>
      <c r="AP2" s="76"/>
      <c r="AQ2" s="76"/>
    </row>
    <row r="3" ht="12.75" customHeight="1">
      <c r="A3" s="18"/>
      <c r="B3" s="18"/>
      <c r="C3" s="18"/>
      <c r="D3" s="18"/>
      <c r="E3" s="77" t="s">
        <v>51</v>
      </c>
      <c r="F3" s="13"/>
      <c r="G3" s="13"/>
      <c r="H3" s="13"/>
      <c r="I3" s="78"/>
      <c r="J3" s="77" t="s">
        <v>53</v>
      </c>
      <c r="K3" s="13"/>
      <c r="L3" s="13"/>
      <c r="M3" s="13"/>
      <c r="N3" s="13"/>
      <c r="O3" s="78"/>
      <c r="P3" s="79" t="s">
        <v>55</v>
      </c>
      <c r="Q3" s="80"/>
      <c r="R3" s="80"/>
      <c r="S3" s="80"/>
      <c r="T3" s="80"/>
      <c r="U3" s="81"/>
      <c r="V3" s="77" t="s">
        <v>57</v>
      </c>
      <c r="W3" s="13"/>
      <c r="X3" s="13"/>
      <c r="Y3" s="13"/>
      <c r="Z3" s="13"/>
      <c r="AA3" s="78"/>
      <c r="AB3" s="77" t="s">
        <v>81</v>
      </c>
      <c r="AC3" s="78"/>
      <c r="AD3" s="82" t="s">
        <v>82</v>
      </c>
      <c r="AE3" s="18"/>
      <c r="AF3" s="18"/>
      <c r="AG3" s="18"/>
      <c r="AH3" s="76"/>
      <c r="AI3" s="76"/>
      <c r="AJ3" s="76"/>
      <c r="AK3" s="76"/>
      <c r="AL3" s="76"/>
      <c r="AM3" s="76"/>
      <c r="AN3" s="76"/>
      <c r="AO3" s="76"/>
      <c r="AP3" s="76"/>
      <c r="AQ3" s="76"/>
    </row>
    <row r="4" ht="12.75" customHeight="1">
      <c r="A4" s="18"/>
      <c r="B4" s="18"/>
      <c r="C4" s="18"/>
      <c r="D4" s="18"/>
      <c r="E4" s="83" t="s">
        <v>83</v>
      </c>
      <c r="F4" s="84"/>
      <c r="G4" s="85"/>
      <c r="H4" s="86" t="s">
        <v>84</v>
      </c>
      <c r="I4" s="87"/>
      <c r="J4" s="83" t="s">
        <v>83</v>
      </c>
      <c r="K4" s="84"/>
      <c r="L4" s="85"/>
      <c r="M4" s="86" t="s">
        <v>84</v>
      </c>
      <c r="N4" s="85"/>
      <c r="O4" s="88" t="s">
        <v>85</v>
      </c>
      <c r="P4" s="83" t="s">
        <v>83</v>
      </c>
      <c r="Q4" s="84"/>
      <c r="R4" s="85"/>
      <c r="S4" s="86" t="s">
        <v>84</v>
      </c>
      <c r="T4" s="85"/>
      <c r="U4" s="89" t="s">
        <v>85</v>
      </c>
      <c r="V4" s="83" t="s">
        <v>83</v>
      </c>
      <c r="W4" s="84"/>
      <c r="X4" s="85"/>
      <c r="Y4" s="86" t="s">
        <v>84</v>
      </c>
      <c r="Z4" s="84"/>
      <c r="AA4" s="90" t="s">
        <v>85</v>
      </c>
      <c r="AB4" s="91" t="s">
        <v>84</v>
      </c>
      <c r="AC4" s="92" t="s">
        <v>85</v>
      </c>
      <c r="AD4" s="93" t="s">
        <v>85</v>
      </c>
      <c r="AE4" s="94"/>
      <c r="AF4" s="94"/>
      <c r="AG4" s="94"/>
      <c r="AH4" s="76"/>
      <c r="AI4" s="76"/>
      <c r="AJ4" s="76"/>
      <c r="AK4" s="76"/>
      <c r="AL4" s="76"/>
      <c r="AM4" s="76"/>
      <c r="AN4" s="76"/>
      <c r="AO4" s="76"/>
      <c r="AP4" s="76"/>
      <c r="AQ4" s="76"/>
    </row>
    <row r="5" ht="19.5" customHeight="1">
      <c r="A5" s="94"/>
      <c r="B5" s="94"/>
      <c r="C5" s="94"/>
      <c r="D5" s="94"/>
      <c r="E5" s="95" t="s">
        <v>86</v>
      </c>
      <c r="F5" s="96" t="s">
        <v>87</v>
      </c>
      <c r="G5" s="97" t="s">
        <v>88</v>
      </c>
      <c r="H5" s="97" t="s">
        <v>89</v>
      </c>
      <c r="I5" s="98" t="s">
        <v>90</v>
      </c>
      <c r="J5" s="99" t="s">
        <v>86</v>
      </c>
      <c r="K5" s="97" t="s">
        <v>87</v>
      </c>
      <c r="L5" s="100" t="s">
        <v>88</v>
      </c>
      <c r="M5" s="100" t="s">
        <v>89</v>
      </c>
      <c r="N5" s="100" t="s">
        <v>90</v>
      </c>
      <c r="O5" s="101"/>
      <c r="P5" s="102" t="s">
        <v>86</v>
      </c>
      <c r="Q5" s="103" t="s">
        <v>87</v>
      </c>
      <c r="R5" s="97" t="s">
        <v>88</v>
      </c>
      <c r="S5" s="97" t="s">
        <v>89</v>
      </c>
      <c r="T5" s="97" t="s">
        <v>90</v>
      </c>
      <c r="U5" s="104"/>
      <c r="V5" s="102" t="s">
        <v>86</v>
      </c>
      <c r="W5" s="103" t="s">
        <v>87</v>
      </c>
      <c r="X5" s="103" t="s">
        <v>88</v>
      </c>
      <c r="Y5" s="97" t="s">
        <v>89</v>
      </c>
      <c r="Z5" s="86" t="s">
        <v>90</v>
      </c>
      <c r="AA5" s="104"/>
      <c r="AB5" s="99" t="s">
        <v>89</v>
      </c>
      <c r="AC5" s="104"/>
      <c r="AD5" s="105"/>
      <c r="AE5" s="106">
        <v>850.0</v>
      </c>
      <c r="AF5" s="46"/>
      <c r="AG5" s="46"/>
      <c r="AH5" s="76"/>
      <c r="AI5" s="76"/>
      <c r="AJ5" s="76"/>
      <c r="AK5" s="76"/>
      <c r="AL5" s="76"/>
      <c r="AM5" s="76"/>
      <c r="AN5" s="76"/>
      <c r="AO5" s="76"/>
      <c r="AP5" s="76"/>
      <c r="AQ5" s="76"/>
    </row>
    <row r="6" ht="19.5" customHeight="1">
      <c r="A6" s="107">
        <v>2201.0</v>
      </c>
      <c r="B6" s="108">
        <v>2.4150940456E10</v>
      </c>
      <c r="C6" s="109">
        <v>106051.0</v>
      </c>
      <c r="D6" s="69" t="s">
        <v>68</v>
      </c>
      <c r="E6" s="110">
        <v>30.0</v>
      </c>
      <c r="F6" s="111">
        <v>57.0</v>
      </c>
      <c r="G6" s="111" t="str">
        <f t="shared" ref="G6:G11" si="1">SUM(E6:F6)</f>
        <v>87</v>
      </c>
      <c r="H6" s="111">
        <v>49.0</v>
      </c>
      <c r="I6" s="112">
        <v>25.0</v>
      </c>
      <c r="J6" s="113">
        <v>30.0</v>
      </c>
      <c r="K6" s="111">
        <v>65.0</v>
      </c>
      <c r="L6" s="111" t="str">
        <f t="shared" ref="L6:L9" si="2">SUM(J6:K6)</f>
        <v>95</v>
      </c>
      <c r="M6" s="111">
        <v>48.0</v>
      </c>
      <c r="N6" s="111">
        <v>24.0</v>
      </c>
      <c r="O6" s="112">
        <v>24.0</v>
      </c>
      <c r="P6" s="114">
        <v>30.0</v>
      </c>
      <c r="Q6" s="115">
        <v>70.0</v>
      </c>
      <c r="R6" s="115" t="str">
        <f t="shared" ref="R6:R9" si="3">SUM(P6:Q6)</f>
        <v>100</v>
      </c>
      <c r="S6" s="115">
        <v>24.0</v>
      </c>
      <c r="T6" s="115">
        <v>23.0</v>
      </c>
      <c r="U6" s="116">
        <v>24.0</v>
      </c>
      <c r="V6" s="113">
        <v>30.0</v>
      </c>
      <c r="W6" s="111">
        <v>70.0</v>
      </c>
      <c r="X6" s="111" t="str">
        <f t="shared" ref="X6:X10" si="4">SUM(V6:W6)</f>
        <v>100</v>
      </c>
      <c r="Y6" s="111">
        <v>48.0</v>
      </c>
      <c r="Z6" s="111">
        <v>24.0</v>
      </c>
      <c r="AA6" s="116">
        <v>24.0</v>
      </c>
      <c r="AB6" s="113">
        <v>24.0</v>
      </c>
      <c r="AC6" s="112">
        <v>24.0</v>
      </c>
      <c r="AD6" s="117">
        <v>48.0</v>
      </c>
      <c r="AE6" s="118">
        <v>815.0</v>
      </c>
      <c r="AF6" s="119" t="str">
        <f t="shared" ref="AF6:AF9" si="5">AE6/850*100</f>
        <v>95.88</v>
      </c>
      <c r="AG6" s="120" t="s">
        <v>91</v>
      </c>
      <c r="AH6" s="8"/>
      <c r="AI6" s="8"/>
      <c r="AJ6" s="8"/>
      <c r="AK6" s="8"/>
      <c r="AL6" s="8"/>
      <c r="AM6" s="8"/>
      <c r="AN6" s="8"/>
      <c r="AO6" s="8"/>
      <c r="AP6" s="8"/>
      <c r="AQ6" s="8"/>
    </row>
    <row r="7" ht="19.5" customHeight="1">
      <c r="A7" s="107">
        <v>2202.0</v>
      </c>
      <c r="B7" s="108">
        <v>2.4150940497E10</v>
      </c>
      <c r="C7" s="109">
        <v>106089.0</v>
      </c>
      <c r="D7" s="69" t="s">
        <v>92</v>
      </c>
      <c r="E7" s="113">
        <v>30.0</v>
      </c>
      <c r="F7" s="111">
        <v>44.0</v>
      </c>
      <c r="G7" s="111" t="str">
        <f t="shared" si="1"/>
        <v>74</v>
      </c>
      <c r="H7" s="111">
        <v>45.0</v>
      </c>
      <c r="I7" s="112">
        <v>22.0</v>
      </c>
      <c r="J7" s="113">
        <v>28.0</v>
      </c>
      <c r="K7" s="111">
        <v>26.0</v>
      </c>
      <c r="L7" s="111" t="str">
        <f t="shared" si="2"/>
        <v>54</v>
      </c>
      <c r="M7" s="111">
        <v>43.0</v>
      </c>
      <c r="N7" s="111">
        <v>21.0</v>
      </c>
      <c r="O7" s="121">
        <v>24.0</v>
      </c>
      <c r="P7" s="113">
        <v>23.0</v>
      </c>
      <c r="Q7" s="111">
        <v>29.0</v>
      </c>
      <c r="R7" s="115" t="str">
        <f t="shared" si="3"/>
        <v>52</v>
      </c>
      <c r="S7" s="111">
        <v>21.0</v>
      </c>
      <c r="T7" s="111">
        <v>20.0</v>
      </c>
      <c r="U7" s="112">
        <v>22.0</v>
      </c>
      <c r="V7" s="113">
        <v>26.0</v>
      </c>
      <c r="W7" s="111">
        <v>26.0</v>
      </c>
      <c r="X7" s="111" t="str">
        <f t="shared" si="4"/>
        <v>52</v>
      </c>
      <c r="Y7" s="111">
        <v>42.0</v>
      </c>
      <c r="Z7" s="111">
        <v>22.0</v>
      </c>
      <c r="AA7" s="112">
        <v>22.0</v>
      </c>
      <c r="AB7" s="113">
        <v>22.0</v>
      </c>
      <c r="AC7" s="112">
        <v>23.0</v>
      </c>
      <c r="AD7" s="117">
        <v>45.0</v>
      </c>
      <c r="AE7" s="118">
        <v>626.0</v>
      </c>
      <c r="AF7" s="119" t="str">
        <f t="shared" si="5"/>
        <v>73.65</v>
      </c>
      <c r="AG7" s="120" t="s">
        <v>93</v>
      </c>
      <c r="AH7" s="8"/>
      <c r="AI7" s="8"/>
      <c r="AJ7" s="8"/>
      <c r="AK7" s="8"/>
      <c r="AL7" s="8"/>
      <c r="AM7" s="8"/>
      <c r="AN7" s="8"/>
      <c r="AO7" s="8"/>
      <c r="AP7" s="8"/>
      <c r="AQ7" s="8"/>
    </row>
    <row r="8" ht="19.5" customHeight="1">
      <c r="A8" s="107">
        <v>2203.0</v>
      </c>
      <c r="B8" s="108">
        <v>2.4150940406E10</v>
      </c>
      <c r="C8" s="109">
        <v>106005.0</v>
      </c>
      <c r="D8" s="69" t="s">
        <v>94</v>
      </c>
      <c r="E8" s="113">
        <v>27.0</v>
      </c>
      <c r="F8" s="111">
        <v>47.0</v>
      </c>
      <c r="G8" s="111" t="str">
        <f t="shared" si="1"/>
        <v>74</v>
      </c>
      <c r="H8" s="111">
        <v>44.0</v>
      </c>
      <c r="I8" s="112">
        <v>21.0</v>
      </c>
      <c r="J8" s="113">
        <v>26.0</v>
      </c>
      <c r="K8" s="111">
        <v>22.0</v>
      </c>
      <c r="L8" s="111" t="str">
        <f t="shared" si="2"/>
        <v>48</v>
      </c>
      <c r="M8" s="111">
        <v>42.0</v>
      </c>
      <c r="N8" s="111">
        <v>19.0</v>
      </c>
      <c r="O8" s="112">
        <v>23.0</v>
      </c>
      <c r="P8" s="113">
        <v>20.0</v>
      </c>
      <c r="Q8" s="111">
        <v>32.0</v>
      </c>
      <c r="R8" s="115" t="str">
        <f t="shared" si="3"/>
        <v>52</v>
      </c>
      <c r="S8" s="111">
        <v>20.0</v>
      </c>
      <c r="T8" s="111">
        <v>16.0</v>
      </c>
      <c r="U8" s="112">
        <v>22.0</v>
      </c>
      <c r="V8" s="113">
        <v>24.0</v>
      </c>
      <c r="W8" s="111">
        <v>34.0</v>
      </c>
      <c r="X8" s="111" t="str">
        <f t="shared" si="4"/>
        <v>58</v>
      </c>
      <c r="Y8" s="111">
        <v>42.0</v>
      </c>
      <c r="Z8" s="111">
        <v>22.0</v>
      </c>
      <c r="AA8" s="112">
        <v>22.0</v>
      </c>
      <c r="AB8" s="113">
        <v>22.0</v>
      </c>
      <c r="AC8" s="112">
        <v>22.0</v>
      </c>
      <c r="AD8" s="117">
        <v>45.0</v>
      </c>
      <c r="AE8" s="118">
        <v>614.0</v>
      </c>
      <c r="AF8" s="119" t="str">
        <f t="shared" si="5"/>
        <v>72.24</v>
      </c>
      <c r="AG8" s="120" t="s">
        <v>93</v>
      </c>
      <c r="AH8" s="8"/>
      <c r="AI8" s="8"/>
      <c r="AJ8" s="8"/>
      <c r="AK8" s="8"/>
      <c r="AL8" s="8"/>
      <c r="AM8" s="8"/>
      <c r="AN8" s="8"/>
      <c r="AO8" s="8"/>
      <c r="AP8" s="8"/>
      <c r="AQ8" s="8"/>
    </row>
    <row r="9" ht="19.5" customHeight="1">
      <c r="A9" s="107">
        <v>2204.0</v>
      </c>
      <c r="B9" s="108">
        <v>2.415094055E10</v>
      </c>
      <c r="C9" s="109">
        <v>106139.0</v>
      </c>
      <c r="D9" s="69" t="s">
        <v>95</v>
      </c>
      <c r="E9" s="113">
        <v>25.0</v>
      </c>
      <c r="F9" s="111">
        <v>56.0</v>
      </c>
      <c r="G9" s="111" t="str">
        <f t="shared" si="1"/>
        <v>81</v>
      </c>
      <c r="H9" s="111">
        <v>40.0</v>
      </c>
      <c r="I9" s="112">
        <v>15.0</v>
      </c>
      <c r="J9" s="113">
        <v>19.0</v>
      </c>
      <c r="K9" s="111">
        <v>43.0</v>
      </c>
      <c r="L9" s="111" t="str">
        <f t="shared" si="2"/>
        <v>62</v>
      </c>
      <c r="M9" s="111">
        <v>36.0</v>
      </c>
      <c r="N9" s="111">
        <v>17.0</v>
      </c>
      <c r="O9" s="112">
        <v>20.0</v>
      </c>
      <c r="P9" s="113">
        <v>12.0</v>
      </c>
      <c r="Q9" s="111">
        <v>28.0</v>
      </c>
      <c r="R9" s="115" t="str">
        <f t="shared" si="3"/>
        <v>40</v>
      </c>
      <c r="S9" s="111">
        <v>17.0</v>
      </c>
      <c r="T9" s="111">
        <v>15.0</v>
      </c>
      <c r="U9" s="112">
        <v>22.0</v>
      </c>
      <c r="V9" s="113">
        <v>25.0</v>
      </c>
      <c r="W9" s="111">
        <v>28.0</v>
      </c>
      <c r="X9" s="111" t="str">
        <f t="shared" si="4"/>
        <v>53</v>
      </c>
      <c r="Y9" s="111">
        <v>43.0</v>
      </c>
      <c r="Z9" s="111">
        <v>22.0</v>
      </c>
      <c r="AA9" s="112">
        <v>22.0</v>
      </c>
      <c r="AB9" s="113">
        <v>22.0</v>
      </c>
      <c r="AC9" s="112">
        <v>22.0</v>
      </c>
      <c r="AD9" s="117">
        <v>44.0</v>
      </c>
      <c r="AE9" s="118">
        <v>593.0</v>
      </c>
      <c r="AF9" s="119" t="str">
        <f t="shared" si="5"/>
        <v>69.76</v>
      </c>
      <c r="AG9" s="120" t="s">
        <v>93</v>
      </c>
      <c r="AH9" s="8"/>
      <c r="AI9" s="8"/>
      <c r="AJ9" s="8"/>
      <c r="AK9" s="8"/>
      <c r="AL9" s="8"/>
      <c r="AM9" s="8"/>
      <c r="AN9" s="8"/>
      <c r="AO9" s="8"/>
      <c r="AP9" s="8"/>
      <c r="AQ9" s="8"/>
    </row>
    <row r="10" ht="19.5" customHeight="1">
      <c r="A10" s="107">
        <v>2205.0</v>
      </c>
      <c r="B10" s="108">
        <v>2.4150940416E10</v>
      </c>
      <c r="C10" s="109">
        <v>106014.0</v>
      </c>
      <c r="D10" s="69" t="s">
        <v>96</v>
      </c>
      <c r="E10" s="113">
        <v>18.0</v>
      </c>
      <c r="F10" s="122" t="s">
        <v>97</v>
      </c>
      <c r="G10" s="111" t="str">
        <f t="shared" si="1"/>
        <v>18</v>
      </c>
      <c r="H10" s="111">
        <v>30.0</v>
      </c>
      <c r="I10" s="112">
        <v>12.0</v>
      </c>
      <c r="J10" s="113">
        <v>20.0</v>
      </c>
      <c r="K10" s="111" t="s">
        <v>98</v>
      </c>
      <c r="L10" s="111">
        <v>35.0</v>
      </c>
      <c r="M10" s="111">
        <v>36.0</v>
      </c>
      <c r="N10" s="111">
        <v>17.0</v>
      </c>
      <c r="O10" s="112">
        <v>21.0</v>
      </c>
      <c r="P10" s="113">
        <v>12.0</v>
      </c>
      <c r="Q10" s="111" t="s">
        <v>99</v>
      </c>
      <c r="R10" s="115">
        <v>24.0</v>
      </c>
      <c r="S10" s="111">
        <v>17.0</v>
      </c>
      <c r="T10" s="111">
        <v>10.0</v>
      </c>
      <c r="U10" s="112">
        <v>22.0</v>
      </c>
      <c r="V10" s="113">
        <v>24.0</v>
      </c>
      <c r="W10" s="111">
        <v>16.0</v>
      </c>
      <c r="X10" s="111" t="str">
        <f t="shared" si="4"/>
        <v>40</v>
      </c>
      <c r="Y10" s="111">
        <v>42.0</v>
      </c>
      <c r="Z10" s="111">
        <v>21.0</v>
      </c>
      <c r="AA10" s="112">
        <v>21.0</v>
      </c>
      <c r="AB10" s="113">
        <v>21.0</v>
      </c>
      <c r="AC10" s="112">
        <v>22.0</v>
      </c>
      <c r="AD10" s="117">
        <v>43.0</v>
      </c>
      <c r="AE10" s="118">
        <v>452.0</v>
      </c>
      <c r="AF10" s="119"/>
      <c r="AG10" s="120" t="s">
        <v>100</v>
      </c>
      <c r="AH10" s="8"/>
      <c r="AI10" s="8"/>
      <c r="AJ10" s="8"/>
      <c r="AK10" s="8"/>
      <c r="AL10" s="8"/>
      <c r="AM10" s="8"/>
      <c r="AN10" s="8"/>
      <c r="AO10" s="8"/>
      <c r="AP10" s="8"/>
      <c r="AQ10" s="8"/>
    </row>
    <row r="11" ht="19.5" customHeight="1">
      <c r="A11" s="107">
        <v>2206.0</v>
      </c>
      <c r="B11" s="108">
        <v>2.4150940522E10</v>
      </c>
      <c r="C11" s="109">
        <v>106113.0</v>
      </c>
      <c r="D11" s="69" t="s">
        <v>101</v>
      </c>
      <c r="E11" s="113">
        <v>20.0</v>
      </c>
      <c r="F11" s="111">
        <v>31.0</v>
      </c>
      <c r="G11" s="111" t="str">
        <f t="shared" si="1"/>
        <v>51</v>
      </c>
      <c r="H11" s="111">
        <v>36.0</v>
      </c>
      <c r="I11" s="112">
        <v>17.0</v>
      </c>
      <c r="J11" s="113">
        <v>18.0</v>
      </c>
      <c r="K11" s="111">
        <v>24.0</v>
      </c>
      <c r="L11" s="111" t="str">
        <f t="shared" ref="L11:L14" si="6">SUM(J11:K11)</f>
        <v>42</v>
      </c>
      <c r="M11" s="111">
        <v>28.0</v>
      </c>
      <c r="N11" s="111">
        <v>13.0</v>
      </c>
      <c r="O11" s="112">
        <v>16.0</v>
      </c>
      <c r="P11" s="113">
        <v>12.0</v>
      </c>
      <c r="Q11" s="111">
        <v>28.0</v>
      </c>
      <c r="R11" s="115" t="str">
        <f>SUM(P11:Q11)</f>
        <v>40</v>
      </c>
      <c r="S11" s="111">
        <v>10.0</v>
      </c>
      <c r="T11" s="111">
        <v>21.0</v>
      </c>
      <c r="U11" s="112">
        <v>10.0</v>
      </c>
      <c r="V11" s="113">
        <v>21.0</v>
      </c>
      <c r="W11" s="123" t="s">
        <v>102</v>
      </c>
      <c r="X11" s="111">
        <v>35.0</v>
      </c>
      <c r="Y11" s="111">
        <v>37.0</v>
      </c>
      <c r="Z11" s="111">
        <v>19.0</v>
      </c>
      <c r="AA11" s="112">
        <v>19.0</v>
      </c>
      <c r="AB11" s="113">
        <v>13.0</v>
      </c>
      <c r="AC11" s="112">
        <v>22.0</v>
      </c>
      <c r="AD11" s="117">
        <v>40.0</v>
      </c>
      <c r="AE11" s="118">
        <v>469.0</v>
      </c>
      <c r="AF11" s="119" t="str">
        <f>AE11/850*100</f>
        <v>55.18</v>
      </c>
      <c r="AG11" s="120" t="s">
        <v>103</v>
      </c>
      <c r="AH11" s="8"/>
      <c r="AI11" s="8"/>
      <c r="AJ11" s="8"/>
      <c r="AK11" s="8"/>
      <c r="AL11" s="8"/>
      <c r="AM11" s="8"/>
      <c r="AN11" s="8"/>
      <c r="AO11" s="8"/>
      <c r="AP11" s="8"/>
      <c r="AQ11" s="8"/>
    </row>
    <row r="12" ht="19.5" customHeight="1">
      <c r="A12" s="107">
        <v>2207.0</v>
      </c>
      <c r="B12" s="108">
        <v>2.415094052E10</v>
      </c>
      <c r="C12" s="109">
        <v>106111.0</v>
      </c>
      <c r="D12" s="69" t="s">
        <v>104</v>
      </c>
      <c r="E12" s="113">
        <v>13.0</v>
      </c>
      <c r="F12" s="111" t="s">
        <v>105</v>
      </c>
      <c r="G12" s="111">
        <v>34.0</v>
      </c>
      <c r="H12" s="111">
        <v>24.0</v>
      </c>
      <c r="I12" s="112">
        <v>14.0</v>
      </c>
      <c r="J12" s="113">
        <v>12.0</v>
      </c>
      <c r="K12" s="111" t="s">
        <v>106</v>
      </c>
      <c r="L12" s="111" t="str">
        <f t="shared" si="6"/>
        <v>12</v>
      </c>
      <c r="M12" s="111">
        <v>24.0</v>
      </c>
      <c r="N12" s="111">
        <v>18.0</v>
      </c>
      <c r="O12" s="121">
        <v>16.0</v>
      </c>
      <c r="P12" s="113">
        <v>12.0</v>
      </c>
      <c r="Q12" s="111" t="s">
        <v>107</v>
      </c>
      <c r="R12" s="115">
        <v>22.0</v>
      </c>
      <c r="S12" s="111">
        <v>10.0</v>
      </c>
      <c r="T12" s="111">
        <v>10.0</v>
      </c>
      <c r="U12" s="112">
        <v>10.0</v>
      </c>
      <c r="V12" s="113">
        <v>18.0</v>
      </c>
      <c r="W12" s="111">
        <v>23.0</v>
      </c>
      <c r="X12" s="111" t="str">
        <f t="shared" ref="X12:X18" si="7">SUM(V12:W12)</f>
        <v>41</v>
      </c>
      <c r="Y12" s="111">
        <v>20.0</v>
      </c>
      <c r="Z12" s="111">
        <v>18.0</v>
      </c>
      <c r="AA12" s="112">
        <v>12.0</v>
      </c>
      <c r="AB12" s="113">
        <v>14.0</v>
      </c>
      <c r="AC12" s="112">
        <v>10.0</v>
      </c>
      <c r="AD12" s="117">
        <v>37.0</v>
      </c>
      <c r="AE12" s="118">
        <v>352.0</v>
      </c>
      <c r="AF12" s="119"/>
      <c r="AG12" s="120" t="s">
        <v>100</v>
      </c>
      <c r="AH12" s="8"/>
      <c r="AI12" s="8"/>
      <c r="AJ12" s="8"/>
      <c r="AK12" s="8"/>
      <c r="AL12" s="8"/>
      <c r="AM12" s="8"/>
      <c r="AN12" s="8"/>
      <c r="AO12" s="8"/>
      <c r="AP12" s="8"/>
      <c r="AQ12" s="8"/>
    </row>
    <row r="13" ht="19.5" customHeight="1">
      <c r="A13" s="107">
        <v>2208.0</v>
      </c>
      <c r="B13" s="108">
        <v>2.4150940461E10</v>
      </c>
      <c r="C13" s="109">
        <v>106056.0</v>
      </c>
      <c r="D13" s="69" t="s">
        <v>108</v>
      </c>
      <c r="E13" s="113">
        <v>29.0</v>
      </c>
      <c r="F13" s="111">
        <v>63.0</v>
      </c>
      <c r="G13" s="111" t="str">
        <f t="shared" ref="G13:G21" si="8">SUM(E13:F13)</f>
        <v>92</v>
      </c>
      <c r="H13" s="111">
        <v>46.0</v>
      </c>
      <c r="I13" s="112">
        <v>23.0</v>
      </c>
      <c r="J13" s="113">
        <v>28.0</v>
      </c>
      <c r="K13" s="111">
        <v>57.0</v>
      </c>
      <c r="L13" s="111" t="str">
        <f t="shared" si="6"/>
        <v>85</v>
      </c>
      <c r="M13" s="111">
        <v>41.0</v>
      </c>
      <c r="N13" s="111">
        <v>22.0</v>
      </c>
      <c r="O13" s="112">
        <v>22.0</v>
      </c>
      <c r="P13" s="113">
        <v>28.0</v>
      </c>
      <c r="Q13" s="111">
        <v>66.0</v>
      </c>
      <c r="R13" s="115" t="str">
        <f t="shared" ref="R13:R14" si="9">SUM(P13:Q13)</f>
        <v>94</v>
      </c>
      <c r="S13" s="111">
        <v>22.0</v>
      </c>
      <c r="T13" s="111">
        <v>20.0</v>
      </c>
      <c r="U13" s="112">
        <v>21.0</v>
      </c>
      <c r="V13" s="113">
        <v>25.0</v>
      </c>
      <c r="W13" s="111">
        <v>62.0</v>
      </c>
      <c r="X13" s="111" t="str">
        <f t="shared" si="7"/>
        <v>87</v>
      </c>
      <c r="Y13" s="111">
        <v>44.0</v>
      </c>
      <c r="Z13" s="111">
        <v>22.0</v>
      </c>
      <c r="AA13" s="112">
        <v>22.0</v>
      </c>
      <c r="AB13" s="113">
        <v>22.0</v>
      </c>
      <c r="AC13" s="112">
        <v>23.0</v>
      </c>
      <c r="AD13" s="117">
        <v>42.0</v>
      </c>
      <c r="AE13" s="118">
        <v>750.0</v>
      </c>
      <c r="AF13" s="119" t="str">
        <f t="shared" ref="AF13:AF14" si="10">AE13/850*100</f>
        <v>88.24</v>
      </c>
      <c r="AG13" s="120" t="s">
        <v>91</v>
      </c>
      <c r="AH13" s="8"/>
      <c r="AI13" s="8"/>
      <c r="AJ13" s="8"/>
      <c r="AK13" s="8"/>
      <c r="AL13" s="8"/>
      <c r="AM13" s="8"/>
      <c r="AN13" s="8"/>
      <c r="AO13" s="8"/>
      <c r="AP13" s="8"/>
      <c r="AQ13" s="8"/>
    </row>
    <row r="14" ht="19.5" customHeight="1">
      <c r="A14" s="107">
        <v>2209.0</v>
      </c>
      <c r="B14" s="108">
        <v>2.4150940468E10</v>
      </c>
      <c r="C14" s="109">
        <v>106061.0</v>
      </c>
      <c r="D14" s="69" t="s">
        <v>109</v>
      </c>
      <c r="E14" s="113">
        <v>30.0</v>
      </c>
      <c r="F14" s="111">
        <v>52.0</v>
      </c>
      <c r="G14" s="111" t="str">
        <f t="shared" si="8"/>
        <v>82</v>
      </c>
      <c r="H14" s="111">
        <v>47.0</v>
      </c>
      <c r="I14" s="112">
        <v>22.0</v>
      </c>
      <c r="J14" s="113">
        <v>29.0</v>
      </c>
      <c r="K14" s="111">
        <v>50.0</v>
      </c>
      <c r="L14" s="111" t="str">
        <f t="shared" si="6"/>
        <v>79</v>
      </c>
      <c r="M14" s="111">
        <v>41.0</v>
      </c>
      <c r="N14" s="111">
        <v>21.0</v>
      </c>
      <c r="O14" s="112">
        <v>23.0</v>
      </c>
      <c r="P14" s="113">
        <v>22.0</v>
      </c>
      <c r="Q14" s="111">
        <v>42.0</v>
      </c>
      <c r="R14" s="115" t="str">
        <f t="shared" si="9"/>
        <v>64</v>
      </c>
      <c r="S14" s="111">
        <v>19.0</v>
      </c>
      <c r="T14" s="111">
        <v>21.0</v>
      </c>
      <c r="U14" s="112">
        <v>21.0</v>
      </c>
      <c r="V14" s="113">
        <v>29.0</v>
      </c>
      <c r="W14" s="111">
        <v>58.0</v>
      </c>
      <c r="X14" s="111" t="str">
        <f t="shared" si="7"/>
        <v>87</v>
      </c>
      <c r="Y14" s="111">
        <v>44.0</v>
      </c>
      <c r="Z14" s="111">
        <v>22.0</v>
      </c>
      <c r="AA14" s="112">
        <v>22.0</v>
      </c>
      <c r="AB14" s="113">
        <v>20.0</v>
      </c>
      <c r="AC14" s="112">
        <v>23.0</v>
      </c>
      <c r="AD14" s="117">
        <v>43.0</v>
      </c>
      <c r="AE14" s="118">
        <v>701.0</v>
      </c>
      <c r="AF14" s="119" t="str">
        <f t="shared" si="10"/>
        <v>82.47</v>
      </c>
      <c r="AG14" s="120" t="s">
        <v>91</v>
      </c>
      <c r="AH14" s="8"/>
      <c r="AI14" s="8"/>
      <c r="AJ14" s="8"/>
      <c r="AK14" s="8"/>
      <c r="AL14" s="8"/>
      <c r="AM14" s="8"/>
      <c r="AN14" s="8"/>
      <c r="AO14" s="8"/>
      <c r="AP14" s="8"/>
      <c r="AQ14" s="8"/>
    </row>
    <row r="15" ht="19.5" customHeight="1">
      <c r="A15" s="107">
        <v>2210.0</v>
      </c>
      <c r="B15" s="108">
        <v>2.4150940524E10</v>
      </c>
      <c r="C15" s="109">
        <v>106115.0</v>
      </c>
      <c r="D15" s="124" t="s">
        <v>110</v>
      </c>
      <c r="E15" s="113">
        <v>24.0</v>
      </c>
      <c r="F15" s="111">
        <v>41.0</v>
      </c>
      <c r="G15" s="111" t="str">
        <f t="shared" si="8"/>
        <v>65</v>
      </c>
      <c r="H15" s="111">
        <v>36.0</v>
      </c>
      <c r="I15" s="112">
        <v>14.0</v>
      </c>
      <c r="J15" s="113">
        <v>26.0</v>
      </c>
      <c r="K15" s="111" t="s">
        <v>111</v>
      </c>
      <c r="L15" s="111">
        <v>33.0</v>
      </c>
      <c r="M15" s="111">
        <v>42.0</v>
      </c>
      <c r="N15" s="111">
        <v>20.0</v>
      </c>
      <c r="O15" s="112">
        <v>23.0</v>
      </c>
      <c r="P15" s="113">
        <v>13.0</v>
      </c>
      <c r="Q15" s="111" t="s">
        <v>112</v>
      </c>
      <c r="R15" s="115">
        <v>35.0</v>
      </c>
      <c r="S15" s="111">
        <v>21.0</v>
      </c>
      <c r="T15" s="111">
        <v>18.0</v>
      </c>
      <c r="U15" s="112">
        <v>20.0</v>
      </c>
      <c r="V15" s="113">
        <v>25.0</v>
      </c>
      <c r="W15" s="111">
        <v>15.0</v>
      </c>
      <c r="X15" s="111" t="str">
        <f t="shared" si="7"/>
        <v>40</v>
      </c>
      <c r="Y15" s="111">
        <v>44.0</v>
      </c>
      <c r="Z15" s="111">
        <v>22.0</v>
      </c>
      <c r="AA15" s="112">
        <v>22.0</v>
      </c>
      <c r="AB15" s="113">
        <v>17.0</v>
      </c>
      <c r="AC15" s="112">
        <v>21.0</v>
      </c>
      <c r="AD15" s="117">
        <v>45.0</v>
      </c>
      <c r="AE15" s="118">
        <v>538.0</v>
      </c>
      <c r="AF15" s="119"/>
      <c r="AG15" s="120" t="s">
        <v>100</v>
      </c>
      <c r="AH15" s="8"/>
      <c r="AI15" s="8"/>
      <c r="AJ15" s="8"/>
      <c r="AK15" s="8"/>
      <c r="AL15" s="8"/>
      <c r="AM15" s="8"/>
      <c r="AN15" s="8"/>
      <c r="AO15" s="8"/>
      <c r="AP15" s="8"/>
      <c r="AQ15" s="8"/>
    </row>
    <row r="16" ht="19.5" customHeight="1">
      <c r="A16" s="107">
        <v>2211.0</v>
      </c>
      <c r="B16" s="108">
        <v>2.4150940575E10</v>
      </c>
      <c r="C16" s="109">
        <v>106163.0</v>
      </c>
      <c r="D16" s="69" t="s">
        <v>113</v>
      </c>
      <c r="E16" s="113">
        <v>16.0</v>
      </c>
      <c r="F16" s="111">
        <v>46.0</v>
      </c>
      <c r="G16" s="111" t="str">
        <f t="shared" si="8"/>
        <v>62</v>
      </c>
      <c r="H16" s="111">
        <v>32.0</v>
      </c>
      <c r="I16" s="112">
        <v>12.0</v>
      </c>
      <c r="J16" s="110">
        <v>12.0</v>
      </c>
      <c r="K16" s="111" t="s">
        <v>114</v>
      </c>
      <c r="L16" s="111">
        <v>32.0</v>
      </c>
      <c r="M16" s="111">
        <v>24.0</v>
      </c>
      <c r="N16" s="111">
        <v>12.0</v>
      </c>
      <c r="O16" s="112">
        <v>16.0</v>
      </c>
      <c r="P16" s="113">
        <v>12.0</v>
      </c>
      <c r="Q16" s="111">
        <v>31.0</v>
      </c>
      <c r="R16" s="115" t="str">
        <f t="shared" ref="R16:R24" si="11">SUM(P16:Q16)</f>
        <v>43</v>
      </c>
      <c r="S16" s="111">
        <v>10.0</v>
      </c>
      <c r="T16" s="111">
        <v>10.0</v>
      </c>
      <c r="U16" s="112">
        <v>10.0</v>
      </c>
      <c r="V16" s="113">
        <v>17.0</v>
      </c>
      <c r="W16" s="111" t="s">
        <v>114</v>
      </c>
      <c r="X16" s="111" t="str">
        <f t="shared" si="7"/>
        <v>17</v>
      </c>
      <c r="Y16" s="111">
        <v>36.0</v>
      </c>
      <c r="Z16" s="111">
        <v>20.0</v>
      </c>
      <c r="AA16" s="112">
        <v>20.0</v>
      </c>
      <c r="AB16" s="113">
        <v>11.0</v>
      </c>
      <c r="AC16" s="112">
        <v>21.0</v>
      </c>
      <c r="AD16" s="117">
        <v>34.0</v>
      </c>
      <c r="AE16" s="118">
        <v>442.0</v>
      </c>
      <c r="AF16" s="119"/>
      <c r="AG16" s="120" t="s">
        <v>100</v>
      </c>
      <c r="AH16" s="8"/>
      <c r="AI16" s="8"/>
      <c r="AJ16" s="8"/>
      <c r="AK16" s="8"/>
      <c r="AL16" s="8"/>
      <c r="AM16" s="8"/>
      <c r="AN16" s="8"/>
      <c r="AO16" s="8"/>
      <c r="AP16" s="8"/>
      <c r="AQ16" s="8"/>
    </row>
    <row r="17" ht="19.5" customHeight="1">
      <c r="A17" s="107">
        <v>2212.0</v>
      </c>
      <c r="B17" s="108">
        <v>2.4150940541E10</v>
      </c>
      <c r="C17" s="109">
        <v>106130.0</v>
      </c>
      <c r="D17" s="69" t="s">
        <v>115</v>
      </c>
      <c r="E17" s="113">
        <v>18.0</v>
      </c>
      <c r="F17" s="111">
        <v>37.0</v>
      </c>
      <c r="G17" s="111" t="str">
        <f t="shared" si="8"/>
        <v>55</v>
      </c>
      <c r="H17" s="111">
        <v>30.0</v>
      </c>
      <c r="I17" s="112">
        <v>14.0</v>
      </c>
      <c r="J17" s="113">
        <v>15.0</v>
      </c>
      <c r="K17" s="123" t="s">
        <v>116</v>
      </c>
      <c r="L17" s="111">
        <v>33.0</v>
      </c>
      <c r="M17" s="111">
        <v>29.0</v>
      </c>
      <c r="N17" s="111">
        <v>19.0</v>
      </c>
      <c r="O17" s="112">
        <v>17.0</v>
      </c>
      <c r="P17" s="113">
        <v>12.0</v>
      </c>
      <c r="Q17" s="111">
        <v>38.0</v>
      </c>
      <c r="R17" s="115" t="str">
        <f t="shared" si="11"/>
        <v>50</v>
      </c>
      <c r="S17" s="111">
        <v>18.0</v>
      </c>
      <c r="T17" s="111">
        <v>10.0</v>
      </c>
      <c r="U17" s="112">
        <v>20.0</v>
      </c>
      <c r="V17" s="113">
        <v>19.0</v>
      </c>
      <c r="W17" s="111">
        <v>25.0</v>
      </c>
      <c r="X17" s="111" t="str">
        <f t="shared" si="7"/>
        <v>44</v>
      </c>
      <c r="Y17" s="111">
        <v>40.0</v>
      </c>
      <c r="Z17" s="111">
        <v>20.0</v>
      </c>
      <c r="AA17" s="112">
        <v>20.0</v>
      </c>
      <c r="AB17" s="113">
        <v>12.0</v>
      </c>
      <c r="AC17" s="112">
        <v>10.0</v>
      </c>
      <c r="AD17" s="117">
        <v>34.0</v>
      </c>
      <c r="AE17" s="118">
        <v>475.0</v>
      </c>
      <c r="AF17" s="119" t="str">
        <f t="shared" ref="AF17:AF23" si="12">AE17/850*100</f>
        <v>55.88</v>
      </c>
      <c r="AG17" s="120" t="s">
        <v>103</v>
      </c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ht="19.5" customHeight="1">
      <c r="A18" s="107">
        <v>2213.0</v>
      </c>
      <c r="B18" s="108">
        <v>2.4150940493E10</v>
      </c>
      <c r="C18" s="109">
        <v>106085.0</v>
      </c>
      <c r="D18" s="69" t="s">
        <v>117</v>
      </c>
      <c r="E18" s="113">
        <v>26.0</v>
      </c>
      <c r="F18" s="111">
        <v>55.0</v>
      </c>
      <c r="G18" s="111" t="str">
        <f t="shared" si="8"/>
        <v>81</v>
      </c>
      <c r="H18" s="111">
        <v>41.0</v>
      </c>
      <c r="I18" s="112">
        <v>18.0</v>
      </c>
      <c r="J18" s="113">
        <v>23.0</v>
      </c>
      <c r="K18" s="111">
        <v>41.0</v>
      </c>
      <c r="L18" s="111" t="str">
        <f>SUM(J18:K18)</f>
        <v>64</v>
      </c>
      <c r="M18" s="111">
        <v>36.0</v>
      </c>
      <c r="N18" s="111">
        <v>21.0</v>
      </c>
      <c r="O18" s="112">
        <v>18.0</v>
      </c>
      <c r="P18" s="113">
        <v>21.0</v>
      </c>
      <c r="Q18" s="111">
        <v>21.0</v>
      </c>
      <c r="R18" s="115" t="str">
        <f t="shared" si="11"/>
        <v>42</v>
      </c>
      <c r="S18" s="111">
        <v>10.0</v>
      </c>
      <c r="T18" s="111">
        <v>10.0</v>
      </c>
      <c r="U18" s="112">
        <v>18.0</v>
      </c>
      <c r="V18" s="113">
        <v>25.0</v>
      </c>
      <c r="W18" s="111">
        <v>21.0</v>
      </c>
      <c r="X18" s="111" t="str">
        <f t="shared" si="7"/>
        <v>46</v>
      </c>
      <c r="Y18" s="111">
        <v>44.0</v>
      </c>
      <c r="Z18" s="111">
        <v>23.0</v>
      </c>
      <c r="AA18" s="112">
        <v>23.0</v>
      </c>
      <c r="AB18" s="113">
        <v>21.0</v>
      </c>
      <c r="AC18" s="112">
        <v>21.0</v>
      </c>
      <c r="AD18" s="117">
        <v>40.0</v>
      </c>
      <c r="AE18" s="118">
        <v>577.0</v>
      </c>
      <c r="AF18" s="119" t="str">
        <f t="shared" si="12"/>
        <v>67.88</v>
      </c>
      <c r="AG18" s="120" t="s">
        <v>93</v>
      </c>
      <c r="AH18" s="8"/>
      <c r="AI18" s="8"/>
      <c r="AJ18" s="8"/>
      <c r="AK18" s="8"/>
      <c r="AL18" s="8"/>
      <c r="AM18" s="8"/>
      <c r="AN18" s="8"/>
      <c r="AO18" s="8"/>
      <c r="AP18" s="8"/>
      <c r="AQ18" s="8"/>
    </row>
    <row r="19" ht="19.5" customHeight="1">
      <c r="A19" s="107">
        <v>2214.0</v>
      </c>
      <c r="B19" s="108">
        <v>2.4150940547E10</v>
      </c>
      <c r="C19" s="109">
        <v>106136.0</v>
      </c>
      <c r="D19" s="69" t="s">
        <v>118</v>
      </c>
      <c r="E19" s="113">
        <v>25.0</v>
      </c>
      <c r="F19" s="111">
        <v>47.0</v>
      </c>
      <c r="G19" s="111" t="str">
        <f t="shared" si="8"/>
        <v>72</v>
      </c>
      <c r="H19" s="111">
        <v>20.0</v>
      </c>
      <c r="I19" s="112">
        <v>12.0</v>
      </c>
      <c r="J19" s="110">
        <v>15.0</v>
      </c>
      <c r="K19" s="123" t="s">
        <v>119</v>
      </c>
      <c r="L19" s="111">
        <v>37.0</v>
      </c>
      <c r="M19" s="111">
        <v>32.0</v>
      </c>
      <c r="N19" s="111">
        <v>14.0</v>
      </c>
      <c r="O19" s="112">
        <v>15.0</v>
      </c>
      <c r="P19" s="113">
        <v>18.0</v>
      </c>
      <c r="Q19" s="111">
        <v>29.0</v>
      </c>
      <c r="R19" s="115" t="str">
        <f t="shared" si="11"/>
        <v>47</v>
      </c>
      <c r="S19" s="111">
        <v>10.0</v>
      </c>
      <c r="T19" s="111">
        <v>15.0</v>
      </c>
      <c r="U19" s="112">
        <v>10.0</v>
      </c>
      <c r="V19" s="113">
        <v>17.0</v>
      </c>
      <c r="W19" s="123" t="s">
        <v>120</v>
      </c>
      <c r="X19" s="111">
        <v>34.0</v>
      </c>
      <c r="Y19" s="111">
        <v>20.0</v>
      </c>
      <c r="Z19" s="111">
        <v>19.0</v>
      </c>
      <c r="AA19" s="112">
        <v>12.0</v>
      </c>
      <c r="AB19" s="113">
        <v>12.0</v>
      </c>
      <c r="AC19" s="112">
        <v>10.0</v>
      </c>
      <c r="AD19" s="117">
        <v>30.0</v>
      </c>
      <c r="AE19" s="118">
        <v>421.0</v>
      </c>
      <c r="AF19" s="119" t="str">
        <f t="shared" si="12"/>
        <v>49.53</v>
      </c>
      <c r="AG19" s="120" t="s">
        <v>103</v>
      </c>
      <c r="AH19" s="8"/>
      <c r="AI19" s="8"/>
      <c r="AJ19" s="8"/>
      <c r="AK19" s="8"/>
      <c r="AL19" s="8"/>
      <c r="AM19" s="8"/>
      <c r="AN19" s="8"/>
      <c r="AO19" s="8"/>
      <c r="AP19" s="8"/>
      <c r="AQ19" s="8"/>
    </row>
    <row r="20" ht="19.5" customHeight="1">
      <c r="A20" s="107">
        <v>2215.0</v>
      </c>
      <c r="B20" s="108">
        <v>2.4150940393E10</v>
      </c>
      <c r="C20" s="109">
        <v>105992.0</v>
      </c>
      <c r="D20" s="69" t="s">
        <v>121</v>
      </c>
      <c r="E20" s="113">
        <v>22.0</v>
      </c>
      <c r="F20" s="111">
        <v>50.0</v>
      </c>
      <c r="G20" s="111" t="str">
        <f t="shared" si="8"/>
        <v>72</v>
      </c>
      <c r="H20" s="111">
        <v>34.0</v>
      </c>
      <c r="I20" s="112">
        <v>13.0</v>
      </c>
      <c r="J20" s="110">
        <v>20.0</v>
      </c>
      <c r="K20" s="111">
        <v>31.0</v>
      </c>
      <c r="L20" s="111" t="str">
        <f t="shared" ref="L20:L23" si="13">SUM(J20:K20)</f>
        <v>51</v>
      </c>
      <c r="M20" s="111">
        <v>30.0</v>
      </c>
      <c r="N20" s="111">
        <v>22.0</v>
      </c>
      <c r="O20" s="112">
        <v>15.0</v>
      </c>
      <c r="P20" s="113">
        <v>13.0</v>
      </c>
      <c r="Q20" s="111">
        <v>28.0</v>
      </c>
      <c r="R20" s="115" t="str">
        <f t="shared" si="11"/>
        <v>41</v>
      </c>
      <c r="S20" s="111">
        <v>10.0</v>
      </c>
      <c r="T20" s="111">
        <v>16.0</v>
      </c>
      <c r="U20" s="112">
        <v>18.0</v>
      </c>
      <c r="V20" s="113">
        <v>19.0</v>
      </c>
      <c r="W20" s="111">
        <v>21.0</v>
      </c>
      <c r="X20" s="111" t="str">
        <f t="shared" ref="X20:X35" si="14">SUM(V20:W20)</f>
        <v>40</v>
      </c>
      <c r="Y20" s="111">
        <v>20.0</v>
      </c>
      <c r="Z20" s="111">
        <v>19.0</v>
      </c>
      <c r="AA20" s="112">
        <v>12.0</v>
      </c>
      <c r="AB20" s="113">
        <v>16.0</v>
      </c>
      <c r="AC20" s="112">
        <v>21.0</v>
      </c>
      <c r="AD20" s="117">
        <v>30.0</v>
      </c>
      <c r="AE20" s="118">
        <v>480.0</v>
      </c>
      <c r="AF20" s="119" t="str">
        <f t="shared" si="12"/>
        <v>56.47</v>
      </c>
      <c r="AG20" s="120" t="s">
        <v>122</v>
      </c>
      <c r="AH20" s="8"/>
      <c r="AI20" s="8"/>
      <c r="AJ20" s="8"/>
      <c r="AK20" s="8"/>
      <c r="AL20" s="8"/>
      <c r="AM20" s="8"/>
      <c r="AN20" s="8"/>
      <c r="AO20" s="8"/>
      <c r="AP20" s="8"/>
      <c r="AQ20" s="8"/>
    </row>
    <row r="21" ht="19.5" customHeight="1">
      <c r="A21" s="107">
        <v>2216.0</v>
      </c>
      <c r="B21" s="108">
        <v>2.4150940452E10</v>
      </c>
      <c r="C21" s="109">
        <v>106047.0</v>
      </c>
      <c r="D21" s="69" t="s">
        <v>123</v>
      </c>
      <c r="E21" s="113">
        <v>29.0</v>
      </c>
      <c r="F21" s="111">
        <v>53.0</v>
      </c>
      <c r="G21" s="111" t="str">
        <f t="shared" si="8"/>
        <v>82</v>
      </c>
      <c r="H21" s="111">
        <v>46.0</v>
      </c>
      <c r="I21" s="112">
        <v>22.0</v>
      </c>
      <c r="J21" s="110">
        <v>27.0</v>
      </c>
      <c r="K21" s="111">
        <v>35.0</v>
      </c>
      <c r="L21" s="111" t="str">
        <f t="shared" si="13"/>
        <v>62</v>
      </c>
      <c r="M21" s="111">
        <v>40.0</v>
      </c>
      <c r="N21" s="111">
        <v>22.0</v>
      </c>
      <c r="O21" s="112">
        <v>21.0</v>
      </c>
      <c r="P21" s="113">
        <v>25.0</v>
      </c>
      <c r="Q21" s="111">
        <v>49.0</v>
      </c>
      <c r="R21" s="115" t="str">
        <f t="shared" si="11"/>
        <v>74</v>
      </c>
      <c r="S21" s="111">
        <v>23.0</v>
      </c>
      <c r="T21" s="111">
        <v>20.0</v>
      </c>
      <c r="U21" s="112">
        <v>23.0</v>
      </c>
      <c r="V21" s="113">
        <v>30.0</v>
      </c>
      <c r="W21" s="111">
        <v>51.0</v>
      </c>
      <c r="X21" s="111" t="str">
        <f t="shared" si="14"/>
        <v>81</v>
      </c>
      <c r="Y21" s="111">
        <v>46.0</v>
      </c>
      <c r="Z21" s="111">
        <v>23.0</v>
      </c>
      <c r="AA21" s="112">
        <v>23.0</v>
      </c>
      <c r="AB21" s="113">
        <v>22.0</v>
      </c>
      <c r="AC21" s="112">
        <v>22.0</v>
      </c>
      <c r="AD21" s="117">
        <v>40.0</v>
      </c>
      <c r="AE21" s="118">
        <v>692.0</v>
      </c>
      <c r="AF21" s="119" t="str">
        <f t="shared" si="12"/>
        <v>81.41</v>
      </c>
      <c r="AG21" s="120" t="s">
        <v>91</v>
      </c>
      <c r="AH21" s="8"/>
      <c r="AI21" s="8"/>
      <c r="AJ21" s="8"/>
      <c r="AK21" s="8"/>
      <c r="AL21" s="8"/>
      <c r="AM21" s="8"/>
      <c r="AN21" s="8"/>
      <c r="AO21" s="8"/>
      <c r="AP21" s="8"/>
      <c r="AQ21" s="8"/>
    </row>
    <row r="22" ht="19.5" customHeight="1">
      <c r="A22" s="107">
        <v>2217.0</v>
      </c>
      <c r="B22" s="108">
        <v>2.415094047E10</v>
      </c>
      <c r="C22" s="109">
        <v>106063.0</v>
      </c>
      <c r="D22" s="69" t="s">
        <v>124</v>
      </c>
      <c r="E22" s="113">
        <v>23.0</v>
      </c>
      <c r="F22" s="111">
        <v>46.0</v>
      </c>
      <c r="G22" s="111">
        <v>69.0</v>
      </c>
      <c r="H22" s="111">
        <v>34.0</v>
      </c>
      <c r="I22" s="112">
        <v>12.0</v>
      </c>
      <c r="J22" s="110">
        <v>19.0</v>
      </c>
      <c r="K22" s="111">
        <v>34.0</v>
      </c>
      <c r="L22" s="111" t="str">
        <f t="shared" si="13"/>
        <v>53</v>
      </c>
      <c r="M22" s="111">
        <v>38.0</v>
      </c>
      <c r="N22" s="111">
        <v>18.0</v>
      </c>
      <c r="O22" s="112">
        <v>19.0</v>
      </c>
      <c r="P22" s="113">
        <v>19.0</v>
      </c>
      <c r="Q22" s="111">
        <v>49.0</v>
      </c>
      <c r="R22" s="115" t="str">
        <f t="shared" si="11"/>
        <v>68</v>
      </c>
      <c r="S22" s="111">
        <v>18.0</v>
      </c>
      <c r="T22" s="111">
        <v>12.0</v>
      </c>
      <c r="U22" s="112">
        <v>21.0</v>
      </c>
      <c r="V22" s="113">
        <v>24.0</v>
      </c>
      <c r="W22" s="111">
        <v>31.0</v>
      </c>
      <c r="X22" s="111" t="str">
        <f t="shared" si="14"/>
        <v>55</v>
      </c>
      <c r="Y22" s="111">
        <v>42.0</v>
      </c>
      <c r="Z22" s="111">
        <v>21.0</v>
      </c>
      <c r="AA22" s="112">
        <v>21.0</v>
      </c>
      <c r="AB22" s="113">
        <v>19.0</v>
      </c>
      <c r="AC22" s="112">
        <v>20.0</v>
      </c>
      <c r="AD22" s="117">
        <v>38.0</v>
      </c>
      <c r="AE22" s="118">
        <v>578.0</v>
      </c>
      <c r="AF22" s="119" t="str">
        <f t="shared" si="12"/>
        <v>68.00</v>
      </c>
      <c r="AG22" s="120" t="s">
        <v>93</v>
      </c>
      <c r="AH22" s="8"/>
      <c r="AI22" s="8"/>
      <c r="AJ22" s="8"/>
      <c r="AK22" s="8"/>
      <c r="AL22" s="8"/>
      <c r="AM22" s="8"/>
      <c r="AN22" s="8"/>
      <c r="AO22" s="8"/>
      <c r="AP22" s="8"/>
      <c r="AQ22" s="8"/>
    </row>
    <row r="23" ht="19.5" customHeight="1">
      <c r="A23" s="107">
        <v>2218.0</v>
      </c>
      <c r="B23" s="108">
        <v>2.4150940533E10</v>
      </c>
      <c r="C23" s="109">
        <v>106123.0</v>
      </c>
      <c r="D23" s="69" t="s">
        <v>125</v>
      </c>
      <c r="E23" s="113">
        <v>23.0</v>
      </c>
      <c r="F23" s="111">
        <v>53.0</v>
      </c>
      <c r="G23" s="111" t="str">
        <f t="shared" ref="G23:G27" si="15">SUM(E23:F23)</f>
        <v>76</v>
      </c>
      <c r="H23" s="111">
        <v>42.0</v>
      </c>
      <c r="I23" s="112">
        <v>19.0</v>
      </c>
      <c r="J23" s="110">
        <v>23.0</v>
      </c>
      <c r="K23" s="111">
        <v>39.0</v>
      </c>
      <c r="L23" s="111" t="str">
        <f t="shared" si="13"/>
        <v>62</v>
      </c>
      <c r="M23" s="111">
        <v>40.0</v>
      </c>
      <c r="N23" s="111">
        <v>18.0</v>
      </c>
      <c r="O23" s="112">
        <v>20.0</v>
      </c>
      <c r="P23" s="113">
        <v>21.0</v>
      </c>
      <c r="Q23" s="111">
        <v>42.0</v>
      </c>
      <c r="R23" s="115" t="str">
        <f t="shared" si="11"/>
        <v>63</v>
      </c>
      <c r="S23" s="111">
        <v>23.0</v>
      </c>
      <c r="T23" s="111">
        <v>21.0</v>
      </c>
      <c r="U23" s="112">
        <v>23.0</v>
      </c>
      <c r="V23" s="113">
        <v>25.0</v>
      </c>
      <c r="W23" s="111">
        <v>36.0</v>
      </c>
      <c r="X23" s="111" t="str">
        <f t="shared" si="14"/>
        <v>61</v>
      </c>
      <c r="Y23" s="111">
        <v>44.0</v>
      </c>
      <c r="Z23" s="111">
        <v>22.0</v>
      </c>
      <c r="AA23" s="112">
        <v>22.0</v>
      </c>
      <c r="AB23" s="113">
        <v>21.0</v>
      </c>
      <c r="AC23" s="112">
        <v>21.0</v>
      </c>
      <c r="AD23" s="117">
        <v>40.0</v>
      </c>
      <c r="AE23" s="118">
        <v>638.0</v>
      </c>
      <c r="AF23" s="119" t="str">
        <f t="shared" si="12"/>
        <v>75.06</v>
      </c>
      <c r="AG23" s="120" t="s">
        <v>91</v>
      </c>
      <c r="AH23" s="8"/>
      <c r="AI23" s="8"/>
      <c r="AJ23" s="8"/>
      <c r="AK23" s="8"/>
      <c r="AL23" s="8"/>
      <c r="AM23" s="8"/>
      <c r="AN23" s="8"/>
      <c r="AO23" s="8"/>
      <c r="AP23" s="8"/>
      <c r="AQ23" s="8"/>
    </row>
    <row r="24" ht="19.5" customHeight="1">
      <c r="A24" s="107">
        <v>2219.0</v>
      </c>
      <c r="B24" s="108">
        <v>2.4150940486E10</v>
      </c>
      <c r="C24" s="109">
        <v>106079.0</v>
      </c>
      <c r="D24" s="69" t="s">
        <v>126</v>
      </c>
      <c r="E24" s="113">
        <v>20.0</v>
      </c>
      <c r="F24" s="111">
        <v>34.0</v>
      </c>
      <c r="G24" s="111" t="str">
        <f t="shared" si="15"/>
        <v>54</v>
      </c>
      <c r="H24" s="111">
        <v>34.0</v>
      </c>
      <c r="I24" s="112">
        <v>14.0</v>
      </c>
      <c r="J24" s="110">
        <v>18.0</v>
      </c>
      <c r="K24" s="111" t="s">
        <v>127</v>
      </c>
      <c r="L24" s="111">
        <v>22.0</v>
      </c>
      <c r="M24" s="111">
        <v>32.0</v>
      </c>
      <c r="N24" s="111">
        <v>14.0</v>
      </c>
      <c r="O24" s="112">
        <v>16.0</v>
      </c>
      <c r="P24" s="113">
        <v>17.0</v>
      </c>
      <c r="Q24" s="111">
        <v>37.0</v>
      </c>
      <c r="R24" s="115" t="str">
        <f t="shared" si="11"/>
        <v>54</v>
      </c>
      <c r="S24" s="111">
        <v>16.0</v>
      </c>
      <c r="T24" s="111">
        <v>12.0</v>
      </c>
      <c r="U24" s="112">
        <v>21.0</v>
      </c>
      <c r="V24" s="113">
        <v>17.0</v>
      </c>
      <c r="W24" s="111">
        <v>32.0</v>
      </c>
      <c r="X24" s="111" t="str">
        <f t="shared" si="14"/>
        <v>49</v>
      </c>
      <c r="Y24" s="111">
        <v>41.0</v>
      </c>
      <c r="Z24" s="111">
        <v>21.0</v>
      </c>
      <c r="AA24" s="112">
        <v>21.0</v>
      </c>
      <c r="AB24" s="113">
        <v>19.0</v>
      </c>
      <c r="AC24" s="112">
        <v>19.0</v>
      </c>
      <c r="AD24" s="117">
        <v>39.0</v>
      </c>
      <c r="AE24" s="118">
        <v>498.0</v>
      </c>
      <c r="AF24" s="119"/>
      <c r="AG24" s="120" t="s">
        <v>100</v>
      </c>
      <c r="AH24" s="8"/>
      <c r="AI24" s="8"/>
      <c r="AJ24" s="8"/>
      <c r="AK24" s="8"/>
      <c r="AL24" s="8"/>
      <c r="AM24" s="8"/>
      <c r="AN24" s="8"/>
      <c r="AO24" s="8"/>
      <c r="AP24" s="8"/>
      <c r="AQ24" s="8"/>
    </row>
    <row r="25" ht="19.5" customHeight="1">
      <c r="A25" s="107">
        <v>2220.0</v>
      </c>
      <c r="B25" s="108">
        <v>2.4150940414E10</v>
      </c>
      <c r="C25" s="109">
        <v>106012.0</v>
      </c>
      <c r="D25" s="69" t="s">
        <v>128</v>
      </c>
      <c r="E25" s="113">
        <v>26.0</v>
      </c>
      <c r="F25" s="111">
        <v>46.0</v>
      </c>
      <c r="G25" s="111" t="str">
        <f t="shared" si="15"/>
        <v>72</v>
      </c>
      <c r="H25" s="111">
        <v>40.0</v>
      </c>
      <c r="I25" s="112">
        <v>15.0</v>
      </c>
      <c r="J25" s="110">
        <v>21.0</v>
      </c>
      <c r="K25" s="111">
        <v>28.0</v>
      </c>
      <c r="L25" s="111">
        <v>49.0</v>
      </c>
      <c r="M25" s="111">
        <v>32.0</v>
      </c>
      <c r="N25" s="111">
        <v>19.0</v>
      </c>
      <c r="O25" s="112">
        <v>16.0</v>
      </c>
      <c r="P25" s="113">
        <v>15.0</v>
      </c>
      <c r="Q25" s="123" t="s">
        <v>119</v>
      </c>
      <c r="R25" s="115">
        <v>37.0</v>
      </c>
      <c r="S25" s="111">
        <v>20.0</v>
      </c>
      <c r="T25" s="111">
        <v>10.0</v>
      </c>
      <c r="U25" s="112">
        <v>21.0</v>
      </c>
      <c r="V25" s="113">
        <v>24.0</v>
      </c>
      <c r="W25" s="111">
        <v>16.0</v>
      </c>
      <c r="X25" s="111" t="str">
        <f t="shared" si="14"/>
        <v>40</v>
      </c>
      <c r="Y25" s="111">
        <v>41.0</v>
      </c>
      <c r="Z25" s="111">
        <v>21.0</v>
      </c>
      <c r="AA25" s="112">
        <v>21.0</v>
      </c>
      <c r="AB25" s="113">
        <v>21.0</v>
      </c>
      <c r="AC25" s="112">
        <v>21.0</v>
      </c>
      <c r="AD25" s="117">
        <v>39.0</v>
      </c>
      <c r="AE25" s="118">
        <v>535.0</v>
      </c>
      <c r="AF25" s="119" t="str">
        <f t="shared" ref="AF25:AF32" si="16">AE25/850*100</f>
        <v>62.94</v>
      </c>
      <c r="AG25" s="120" t="s">
        <v>129</v>
      </c>
      <c r="AH25" s="8"/>
      <c r="AI25" s="8"/>
      <c r="AJ25" s="8"/>
      <c r="AK25" s="8"/>
      <c r="AL25" s="8"/>
      <c r="AM25" s="8"/>
      <c r="AN25" s="8"/>
      <c r="AO25" s="8"/>
      <c r="AP25" s="8"/>
      <c r="AQ25" s="8"/>
    </row>
    <row r="26" ht="19.5" customHeight="1">
      <c r="A26" s="107">
        <v>2221.0</v>
      </c>
      <c r="B26" s="108">
        <v>2.4150940411E10</v>
      </c>
      <c r="C26" s="109">
        <v>106010.0</v>
      </c>
      <c r="D26" s="69" t="s">
        <v>130</v>
      </c>
      <c r="E26" s="113">
        <v>27.0</v>
      </c>
      <c r="F26" s="111">
        <v>58.0</v>
      </c>
      <c r="G26" s="111" t="str">
        <f t="shared" si="15"/>
        <v>85</v>
      </c>
      <c r="H26" s="111">
        <v>36.0</v>
      </c>
      <c r="I26" s="112">
        <v>16.0</v>
      </c>
      <c r="J26" s="110">
        <v>27.0</v>
      </c>
      <c r="K26" s="111">
        <v>45.0</v>
      </c>
      <c r="L26" s="111" t="str">
        <f t="shared" ref="L26:L30" si="17">SUM(J26:K26)</f>
        <v>72</v>
      </c>
      <c r="M26" s="111">
        <v>40.0</v>
      </c>
      <c r="N26" s="111">
        <v>19.0</v>
      </c>
      <c r="O26" s="112">
        <v>22.0</v>
      </c>
      <c r="P26" s="113">
        <v>19.0</v>
      </c>
      <c r="Q26" s="111">
        <v>47.0</v>
      </c>
      <c r="R26" s="115" t="str">
        <f t="shared" ref="R26:R27" si="18">SUM(P26:Q26)</f>
        <v>66</v>
      </c>
      <c r="S26" s="111">
        <v>21.0</v>
      </c>
      <c r="T26" s="111">
        <v>18.0</v>
      </c>
      <c r="U26" s="112">
        <v>21.0</v>
      </c>
      <c r="V26" s="113">
        <v>27.0</v>
      </c>
      <c r="W26" s="111">
        <v>31.0</v>
      </c>
      <c r="X26" s="111" t="str">
        <f t="shared" si="14"/>
        <v>58</v>
      </c>
      <c r="Y26" s="111">
        <v>42.0</v>
      </c>
      <c r="Z26" s="111">
        <v>21.0</v>
      </c>
      <c r="AA26" s="112">
        <v>21.0</v>
      </c>
      <c r="AB26" s="113">
        <v>20.0</v>
      </c>
      <c r="AC26" s="112">
        <v>11.0</v>
      </c>
      <c r="AD26" s="117">
        <v>42.0</v>
      </c>
      <c r="AE26" s="118">
        <v>631.0</v>
      </c>
      <c r="AF26" s="119" t="str">
        <f t="shared" si="16"/>
        <v>74.24</v>
      </c>
      <c r="AG26" s="120" t="s">
        <v>93</v>
      </c>
      <c r="AH26" s="8"/>
      <c r="AI26" s="8"/>
      <c r="AJ26" s="8"/>
      <c r="AK26" s="8"/>
      <c r="AL26" s="8"/>
      <c r="AM26" s="8"/>
      <c r="AN26" s="8"/>
      <c r="AO26" s="8"/>
      <c r="AP26" s="8"/>
      <c r="AQ26" s="8"/>
    </row>
    <row r="27" ht="19.5" customHeight="1">
      <c r="A27" s="107">
        <v>2222.0</v>
      </c>
      <c r="B27" s="108">
        <v>2.4150940576E10</v>
      </c>
      <c r="C27" s="109">
        <v>106164.0</v>
      </c>
      <c r="D27" s="69" t="s">
        <v>131</v>
      </c>
      <c r="E27" s="110">
        <v>24.0</v>
      </c>
      <c r="F27" s="111">
        <v>54.0</v>
      </c>
      <c r="G27" s="111" t="str">
        <f t="shared" si="15"/>
        <v>78</v>
      </c>
      <c r="H27" s="111">
        <v>46.0</v>
      </c>
      <c r="I27" s="112">
        <v>20.0</v>
      </c>
      <c r="J27" s="113">
        <v>25.0</v>
      </c>
      <c r="K27" s="111">
        <v>42.0</v>
      </c>
      <c r="L27" s="111" t="str">
        <f t="shared" si="17"/>
        <v>67</v>
      </c>
      <c r="M27" s="111">
        <v>41.0</v>
      </c>
      <c r="N27" s="111">
        <v>23.0</v>
      </c>
      <c r="O27" s="112">
        <v>21.0</v>
      </c>
      <c r="P27" s="113">
        <v>27.0</v>
      </c>
      <c r="Q27" s="111">
        <v>56.0</v>
      </c>
      <c r="R27" s="115" t="str">
        <f t="shared" si="18"/>
        <v>83</v>
      </c>
      <c r="S27" s="111">
        <v>23.0</v>
      </c>
      <c r="T27" s="111">
        <v>21.0</v>
      </c>
      <c r="U27" s="112">
        <v>22.0</v>
      </c>
      <c r="V27" s="113">
        <v>30.0</v>
      </c>
      <c r="W27" s="111">
        <v>42.0</v>
      </c>
      <c r="X27" s="111" t="str">
        <f t="shared" si="14"/>
        <v>72</v>
      </c>
      <c r="Y27" s="111">
        <v>45.0</v>
      </c>
      <c r="Z27" s="111">
        <v>23.0</v>
      </c>
      <c r="AA27" s="112">
        <v>23.0</v>
      </c>
      <c r="AB27" s="113">
        <v>23.0</v>
      </c>
      <c r="AC27" s="112">
        <v>22.0</v>
      </c>
      <c r="AD27" s="117">
        <v>41.0</v>
      </c>
      <c r="AE27" s="118">
        <v>694.0</v>
      </c>
      <c r="AF27" s="119" t="str">
        <f t="shared" si="16"/>
        <v>81.65</v>
      </c>
      <c r="AG27" s="120" t="s">
        <v>91</v>
      </c>
      <c r="AH27" s="8"/>
      <c r="AI27" s="8"/>
      <c r="AJ27" s="8"/>
      <c r="AK27" s="8"/>
      <c r="AL27" s="8"/>
      <c r="AM27" s="8"/>
      <c r="AN27" s="8"/>
      <c r="AO27" s="8"/>
      <c r="AP27" s="8"/>
      <c r="AQ27" s="8"/>
    </row>
    <row r="28" ht="19.5" customHeight="1">
      <c r="A28" s="107">
        <v>2223.0</v>
      </c>
      <c r="B28" s="108">
        <v>2.415094043E10</v>
      </c>
      <c r="C28" s="109">
        <v>106026.0</v>
      </c>
      <c r="D28" s="69" t="s">
        <v>132</v>
      </c>
      <c r="E28" s="113">
        <v>21.0</v>
      </c>
      <c r="F28" s="111">
        <v>45.0</v>
      </c>
      <c r="G28" s="111">
        <v>66.0</v>
      </c>
      <c r="H28" s="111">
        <v>30.0</v>
      </c>
      <c r="I28" s="112">
        <v>13.0</v>
      </c>
      <c r="J28" s="113">
        <v>22.0</v>
      </c>
      <c r="K28" s="111">
        <v>21.0</v>
      </c>
      <c r="L28" s="111" t="str">
        <f t="shared" si="17"/>
        <v>43</v>
      </c>
      <c r="M28" s="111">
        <v>38.0</v>
      </c>
      <c r="N28" s="111">
        <v>17.0</v>
      </c>
      <c r="O28" s="112">
        <v>18.0</v>
      </c>
      <c r="P28" s="113">
        <v>13.0</v>
      </c>
      <c r="Q28" s="123" t="s">
        <v>133</v>
      </c>
      <c r="R28" s="115">
        <v>37.0</v>
      </c>
      <c r="S28" s="111">
        <v>18.0</v>
      </c>
      <c r="T28" s="111">
        <v>18.0</v>
      </c>
      <c r="U28" s="112">
        <v>18.0</v>
      </c>
      <c r="V28" s="113">
        <v>25.0</v>
      </c>
      <c r="W28" s="111">
        <v>20.0</v>
      </c>
      <c r="X28" s="111" t="str">
        <f t="shared" si="14"/>
        <v>45</v>
      </c>
      <c r="Y28" s="111">
        <v>43.0</v>
      </c>
      <c r="Z28" s="111">
        <v>22.0</v>
      </c>
      <c r="AA28" s="112">
        <v>22.0</v>
      </c>
      <c r="AB28" s="113">
        <v>21.0</v>
      </c>
      <c r="AC28" s="112">
        <v>19.0</v>
      </c>
      <c r="AD28" s="117">
        <v>39.0</v>
      </c>
      <c r="AE28" s="118">
        <v>527.0</v>
      </c>
      <c r="AF28" s="119" t="str">
        <f t="shared" si="16"/>
        <v>62.00</v>
      </c>
      <c r="AG28" s="120" t="s">
        <v>129</v>
      </c>
      <c r="AH28" s="8"/>
      <c r="AI28" s="8"/>
      <c r="AJ28" s="8"/>
      <c r="AK28" s="8"/>
      <c r="AL28" s="8"/>
      <c r="AM28" s="8"/>
      <c r="AN28" s="8"/>
      <c r="AO28" s="8"/>
      <c r="AP28" s="8"/>
      <c r="AQ28" s="8"/>
    </row>
    <row r="29" ht="19.5" customHeight="1">
      <c r="A29" s="107">
        <v>2224.0</v>
      </c>
      <c r="B29" s="108">
        <v>2.4150940428E10</v>
      </c>
      <c r="C29" s="109">
        <v>106024.0</v>
      </c>
      <c r="D29" s="69" t="s">
        <v>134</v>
      </c>
      <c r="E29" s="113">
        <v>25.0</v>
      </c>
      <c r="F29" s="111">
        <v>45.0</v>
      </c>
      <c r="G29" s="111" t="str">
        <f t="shared" ref="G29:G51" si="19">SUM(E29:F29)</f>
        <v>70</v>
      </c>
      <c r="H29" s="111">
        <v>40.0</v>
      </c>
      <c r="I29" s="112">
        <v>17.0</v>
      </c>
      <c r="J29" s="113">
        <v>17.0</v>
      </c>
      <c r="K29" s="111">
        <v>28.0</v>
      </c>
      <c r="L29" s="111" t="str">
        <f t="shared" si="17"/>
        <v>45</v>
      </c>
      <c r="M29" s="111">
        <v>30.0</v>
      </c>
      <c r="N29" s="111">
        <v>15.0</v>
      </c>
      <c r="O29" s="112">
        <v>15.0</v>
      </c>
      <c r="P29" s="113">
        <v>13.0</v>
      </c>
      <c r="Q29" s="111">
        <v>28.0</v>
      </c>
      <c r="R29" s="115" t="str">
        <f t="shared" ref="R29:R32" si="20">SUM(P29:Q29)</f>
        <v>41</v>
      </c>
      <c r="S29" s="111">
        <v>17.0</v>
      </c>
      <c r="T29" s="111">
        <v>18.0</v>
      </c>
      <c r="U29" s="112">
        <v>20.0</v>
      </c>
      <c r="V29" s="113">
        <v>24.0</v>
      </c>
      <c r="W29" s="111">
        <v>17.0</v>
      </c>
      <c r="X29" s="111" t="str">
        <f t="shared" si="14"/>
        <v>41</v>
      </c>
      <c r="Y29" s="111">
        <v>43.0</v>
      </c>
      <c r="Z29" s="111">
        <v>22.0</v>
      </c>
      <c r="AA29" s="112">
        <v>22.0</v>
      </c>
      <c r="AB29" s="113">
        <v>21.0</v>
      </c>
      <c r="AC29" s="112">
        <v>20.0</v>
      </c>
      <c r="AD29" s="117">
        <v>41.0</v>
      </c>
      <c r="AE29" s="118">
        <v>538.0</v>
      </c>
      <c r="AF29" s="119" t="str">
        <f t="shared" si="16"/>
        <v>63.29</v>
      </c>
      <c r="AG29" s="120" t="s">
        <v>93</v>
      </c>
      <c r="AH29" s="125"/>
      <c r="AI29" s="8"/>
      <c r="AJ29" s="8"/>
      <c r="AK29" s="8"/>
      <c r="AL29" s="8"/>
      <c r="AM29" s="8"/>
      <c r="AN29" s="8"/>
      <c r="AO29" s="8"/>
      <c r="AP29" s="8"/>
      <c r="AQ29" s="8"/>
    </row>
    <row r="30" ht="19.5" customHeight="1">
      <c r="A30" s="107">
        <v>2225.0</v>
      </c>
      <c r="B30" s="108">
        <v>2.4150940427E10</v>
      </c>
      <c r="C30" s="109">
        <v>106023.0</v>
      </c>
      <c r="D30" s="124" t="s">
        <v>135</v>
      </c>
      <c r="E30" s="113">
        <v>28.0</v>
      </c>
      <c r="F30" s="111">
        <v>44.0</v>
      </c>
      <c r="G30" s="111" t="str">
        <f t="shared" si="19"/>
        <v>72</v>
      </c>
      <c r="H30" s="111">
        <v>39.0</v>
      </c>
      <c r="I30" s="112">
        <v>14.0</v>
      </c>
      <c r="J30" s="113">
        <v>26.0</v>
      </c>
      <c r="K30" s="111">
        <v>34.0</v>
      </c>
      <c r="L30" s="111" t="str">
        <f t="shared" si="17"/>
        <v>60</v>
      </c>
      <c r="M30" s="111">
        <v>40.0</v>
      </c>
      <c r="N30" s="111">
        <v>20.0</v>
      </c>
      <c r="O30" s="112">
        <v>17.0</v>
      </c>
      <c r="P30" s="113">
        <v>16.0</v>
      </c>
      <c r="Q30" s="111">
        <v>28.0</v>
      </c>
      <c r="R30" s="115" t="str">
        <f t="shared" si="20"/>
        <v>44</v>
      </c>
      <c r="S30" s="111">
        <v>10.0</v>
      </c>
      <c r="T30" s="111">
        <v>10.0</v>
      </c>
      <c r="U30" s="112">
        <v>15.0</v>
      </c>
      <c r="V30" s="113">
        <v>27.0</v>
      </c>
      <c r="W30" s="111">
        <v>25.0</v>
      </c>
      <c r="X30" s="111" t="str">
        <f t="shared" si="14"/>
        <v>52</v>
      </c>
      <c r="Y30" s="111">
        <v>43.0</v>
      </c>
      <c r="Z30" s="111">
        <v>22.0</v>
      </c>
      <c r="AA30" s="112">
        <v>22.0</v>
      </c>
      <c r="AB30" s="113">
        <v>21.0</v>
      </c>
      <c r="AC30" s="112">
        <v>15.0</v>
      </c>
      <c r="AD30" s="117">
        <v>42.0</v>
      </c>
      <c r="AE30" s="118">
        <v>558.0</v>
      </c>
      <c r="AF30" s="119" t="str">
        <f t="shared" si="16"/>
        <v>65.65</v>
      </c>
      <c r="AG30" s="120" t="s">
        <v>93</v>
      </c>
      <c r="AH30" s="8"/>
      <c r="AI30" s="8"/>
      <c r="AJ30" s="8"/>
      <c r="AK30" s="8"/>
      <c r="AL30" s="8"/>
      <c r="AM30" s="8"/>
      <c r="AN30" s="8"/>
      <c r="AO30" s="8"/>
      <c r="AP30" s="8"/>
      <c r="AQ30" s="8"/>
    </row>
    <row r="31" ht="19.5" customHeight="1">
      <c r="A31" s="107">
        <v>2226.0</v>
      </c>
      <c r="B31" s="108">
        <v>2.4150940485E10</v>
      </c>
      <c r="C31" s="109">
        <v>106078.0</v>
      </c>
      <c r="D31" s="69" t="s">
        <v>136</v>
      </c>
      <c r="E31" s="113">
        <v>16.0</v>
      </c>
      <c r="F31" s="111">
        <v>29.0</v>
      </c>
      <c r="G31" s="111" t="str">
        <f t="shared" si="19"/>
        <v>45</v>
      </c>
      <c r="H31" s="111">
        <v>42.0</v>
      </c>
      <c r="I31" s="112">
        <v>18.0</v>
      </c>
      <c r="J31" s="113">
        <v>13.0</v>
      </c>
      <c r="K31" s="123" t="s">
        <v>137</v>
      </c>
      <c r="L31" s="111">
        <v>32.0</v>
      </c>
      <c r="M31" s="111">
        <v>35.0</v>
      </c>
      <c r="N31" s="111">
        <v>17.0</v>
      </c>
      <c r="O31" s="112">
        <v>22.0</v>
      </c>
      <c r="P31" s="113">
        <v>12.0</v>
      </c>
      <c r="Q31" s="111">
        <v>28.0</v>
      </c>
      <c r="R31" s="115" t="str">
        <f t="shared" si="20"/>
        <v>40</v>
      </c>
      <c r="S31" s="111">
        <v>23.0</v>
      </c>
      <c r="T31" s="111">
        <v>18.0</v>
      </c>
      <c r="U31" s="112">
        <v>22.0</v>
      </c>
      <c r="V31" s="113">
        <v>22.0</v>
      </c>
      <c r="W31" s="111">
        <v>49.0</v>
      </c>
      <c r="X31" s="111" t="str">
        <f t="shared" si="14"/>
        <v>71</v>
      </c>
      <c r="Y31" s="111">
        <v>44.0</v>
      </c>
      <c r="Z31" s="111">
        <v>22.0</v>
      </c>
      <c r="AA31" s="112">
        <v>22.0</v>
      </c>
      <c r="AB31" s="113">
        <v>22.0</v>
      </c>
      <c r="AC31" s="112">
        <v>22.0</v>
      </c>
      <c r="AD31" s="117">
        <v>42.0</v>
      </c>
      <c r="AE31" s="118">
        <v>559.0</v>
      </c>
      <c r="AF31" s="119" t="str">
        <f t="shared" si="16"/>
        <v>65.76</v>
      </c>
      <c r="AG31" s="120" t="s">
        <v>129</v>
      </c>
      <c r="AH31" s="8"/>
      <c r="AI31" s="8"/>
      <c r="AJ31" s="8"/>
      <c r="AK31" s="8"/>
      <c r="AL31" s="8"/>
      <c r="AM31" s="8"/>
      <c r="AN31" s="8"/>
      <c r="AO31" s="8"/>
      <c r="AP31" s="8"/>
      <c r="AQ31" s="8"/>
    </row>
    <row r="32" ht="19.5" customHeight="1">
      <c r="A32" s="107">
        <v>2227.0</v>
      </c>
      <c r="B32" s="108">
        <v>2.4150940466E10</v>
      </c>
      <c r="C32" s="109">
        <v>106059.0</v>
      </c>
      <c r="D32" s="69" t="s">
        <v>138</v>
      </c>
      <c r="E32" s="110">
        <v>25.0</v>
      </c>
      <c r="F32" s="111">
        <v>42.0</v>
      </c>
      <c r="G32" s="111" t="str">
        <f t="shared" si="19"/>
        <v>67</v>
      </c>
      <c r="H32" s="111">
        <v>36.0</v>
      </c>
      <c r="I32" s="112">
        <v>21.0</v>
      </c>
      <c r="J32" s="110">
        <v>15.0</v>
      </c>
      <c r="K32" s="123" t="s">
        <v>116</v>
      </c>
      <c r="L32" s="111">
        <v>33.0</v>
      </c>
      <c r="M32" s="126">
        <v>36.0</v>
      </c>
      <c r="N32" s="126">
        <v>17.0</v>
      </c>
      <c r="O32" s="127">
        <v>18.0</v>
      </c>
      <c r="P32" s="113">
        <v>12.0</v>
      </c>
      <c r="Q32" s="111">
        <v>36.0</v>
      </c>
      <c r="R32" s="115" t="str">
        <f t="shared" si="20"/>
        <v>48</v>
      </c>
      <c r="S32" s="111">
        <v>16.0</v>
      </c>
      <c r="T32" s="111">
        <v>21.0</v>
      </c>
      <c r="U32" s="112">
        <v>15.0</v>
      </c>
      <c r="V32" s="113">
        <v>23.0</v>
      </c>
      <c r="W32" s="111">
        <v>21.0</v>
      </c>
      <c r="X32" s="111" t="str">
        <f t="shared" si="14"/>
        <v>44</v>
      </c>
      <c r="Y32" s="111">
        <v>41.0</v>
      </c>
      <c r="Z32" s="111">
        <v>21.0</v>
      </c>
      <c r="AA32" s="112">
        <v>21.0</v>
      </c>
      <c r="AB32" s="113">
        <v>20.0</v>
      </c>
      <c r="AC32" s="112">
        <v>20.0</v>
      </c>
      <c r="AD32" s="117">
        <v>40.0</v>
      </c>
      <c r="AE32" s="118">
        <v>535.0</v>
      </c>
      <c r="AF32" s="119" t="str">
        <f t="shared" si="16"/>
        <v>62.94</v>
      </c>
      <c r="AG32" s="120" t="s">
        <v>129</v>
      </c>
      <c r="AH32" s="8"/>
      <c r="AI32" s="8"/>
      <c r="AJ32" s="8"/>
      <c r="AK32" s="8"/>
      <c r="AL32" s="8"/>
      <c r="AM32" s="8"/>
      <c r="AN32" s="8"/>
      <c r="AO32" s="8"/>
      <c r="AP32" s="8"/>
      <c r="AQ32" s="8"/>
    </row>
    <row r="33" ht="19.5" customHeight="1">
      <c r="A33" s="107">
        <v>2228.0</v>
      </c>
      <c r="B33" s="108">
        <v>2.4150940432E10</v>
      </c>
      <c r="C33" s="109">
        <v>106028.0</v>
      </c>
      <c r="D33" s="69" t="s">
        <v>139</v>
      </c>
      <c r="E33" s="113">
        <v>25.0</v>
      </c>
      <c r="F33" s="111">
        <v>46.0</v>
      </c>
      <c r="G33" s="111" t="str">
        <f t="shared" si="19"/>
        <v>71</v>
      </c>
      <c r="H33" s="111">
        <v>38.0</v>
      </c>
      <c r="I33" s="112">
        <v>20.0</v>
      </c>
      <c r="J33" s="113">
        <v>18.0</v>
      </c>
      <c r="K33" s="111" t="s">
        <v>98</v>
      </c>
      <c r="L33" s="111">
        <v>33.0</v>
      </c>
      <c r="M33" s="111">
        <v>35.0</v>
      </c>
      <c r="N33" s="111">
        <v>17.0</v>
      </c>
      <c r="O33" s="112">
        <v>21.0</v>
      </c>
      <c r="P33" s="113">
        <v>13.0</v>
      </c>
      <c r="Q33" s="111" t="s">
        <v>140</v>
      </c>
      <c r="R33" s="115">
        <v>36.0</v>
      </c>
      <c r="S33" s="111">
        <v>18.0</v>
      </c>
      <c r="T33" s="111">
        <v>16.0</v>
      </c>
      <c r="U33" s="112">
        <v>21.0</v>
      </c>
      <c r="V33" s="113">
        <v>25.0</v>
      </c>
      <c r="W33" s="111">
        <v>32.0</v>
      </c>
      <c r="X33" s="111" t="str">
        <f t="shared" si="14"/>
        <v>57</v>
      </c>
      <c r="Y33" s="111">
        <v>44.0</v>
      </c>
      <c r="Z33" s="111">
        <v>22.0</v>
      </c>
      <c r="AA33" s="112">
        <v>22.0</v>
      </c>
      <c r="AB33" s="113">
        <v>20.0</v>
      </c>
      <c r="AC33" s="112">
        <v>11.0</v>
      </c>
      <c r="AD33" s="117">
        <v>40.0</v>
      </c>
      <c r="AE33" s="118">
        <v>542.0</v>
      </c>
      <c r="AF33" s="119"/>
      <c r="AG33" s="120" t="s">
        <v>141</v>
      </c>
      <c r="AH33" s="8"/>
      <c r="AI33" s="8"/>
      <c r="AJ33" s="8"/>
      <c r="AK33" s="8"/>
      <c r="AL33" s="8"/>
      <c r="AM33" s="8"/>
      <c r="AN33" s="8"/>
      <c r="AO33" s="8"/>
      <c r="AP33" s="8"/>
      <c r="AQ33" s="8"/>
    </row>
    <row r="34" ht="19.5" customHeight="1">
      <c r="A34" s="107">
        <v>2229.0</v>
      </c>
      <c r="B34" s="108">
        <v>2.4150940513E10</v>
      </c>
      <c r="C34" s="109">
        <v>106104.0</v>
      </c>
      <c r="D34" s="69" t="s">
        <v>142</v>
      </c>
      <c r="E34" s="113">
        <v>20.0</v>
      </c>
      <c r="F34" s="111">
        <v>38.0</v>
      </c>
      <c r="G34" s="111" t="str">
        <f t="shared" si="19"/>
        <v>58</v>
      </c>
      <c r="H34" s="111">
        <v>30.0</v>
      </c>
      <c r="I34" s="112">
        <v>14.0</v>
      </c>
      <c r="J34" s="113">
        <v>20.0</v>
      </c>
      <c r="K34" s="111">
        <v>23.0</v>
      </c>
      <c r="L34" s="111" t="str">
        <f t="shared" ref="L34:L43" si="21">SUM(J34:K34)</f>
        <v>43</v>
      </c>
      <c r="M34" s="126">
        <v>36.0</v>
      </c>
      <c r="N34" s="126">
        <v>22.0</v>
      </c>
      <c r="O34" s="112">
        <v>21.0</v>
      </c>
      <c r="P34" s="113">
        <v>12.0</v>
      </c>
      <c r="Q34" s="111">
        <v>39.0</v>
      </c>
      <c r="R34" s="115" t="str">
        <f t="shared" ref="R34:R43" si="22">SUM(P34:Q34)</f>
        <v>51</v>
      </c>
      <c r="S34" s="111">
        <v>12.0</v>
      </c>
      <c r="T34" s="111">
        <v>10.0</v>
      </c>
      <c r="U34" s="112">
        <v>10.0</v>
      </c>
      <c r="V34" s="113">
        <v>26.0</v>
      </c>
      <c r="W34" s="111">
        <v>21.0</v>
      </c>
      <c r="X34" s="111" t="str">
        <f t="shared" si="14"/>
        <v>47</v>
      </c>
      <c r="Y34" s="111">
        <v>40.0</v>
      </c>
      <c r="Z34" s="111">
        <v>20.0</v>
      </c>
      <c r="AA34" s="112">
        <v>20.0</v>
      </c>
      <c r="AB34" s="113">
        <v>16.0</v>
      </c>
      <c r="AC34" s="112">
        <v>11.0</v>
      </c>
      <c r="AD34" s="117">
        <v>40.0</v>
      </c>
      <c r="AE34" s="118">
        <v>501.0</v>
      </c>
      <c r="AF34" s="119" t="str">
        <f t="shared" ref="AF34:AF43" si="23">AE34/850*100</f>
        <v>58.94</v>
      </c>
      <c r="AG34" s="120" t="s">
        <v>143</v>
      </c>
      <c r="AH34" s="8"/>
      <c r="AI34" s="8"/>
      <c r="AJ34" s="8"/>
      <c r="AK34" s="8"/>
      <c r="AL34" s="8"/>
      <c r="AM34" s="8"/>
      <c r="AN34" s="8"/>
      <c r="AO34" s="8"/>
      <c r="AP34" s="8"/>
      <c r="AQ34" s="8"/>
    </row>
    <row r="35" ht="19.5" customHeight="1">
      <c r="A35" s="107">
        <v>2230.0</v>
      </c>
      <c r="B35" s="108">
        <v>2.4150940504E10</v>
      </c>
      <c r="C35" s="109">
        <v>106096.0</v>
      </c>
      <c r="D35" s="69" t="s">
        <v>144</v>
      </c>
      <c r="E35" s="113">
        <v>27.0</v>
      </c>
      <c r="F35" s="111">
        <v>48.0</v>
      </c>
      <c r="G35" s="111" t="str">
        <f t="shared" si="19"/>
        <v>75</v>
      </c>
      <c r="H35" s="111">
        <v>48.0</v>
      </c>
      <c r="I35" s="112">
        <v>24.0</v>
      </c>
      <c r="J35" s="113">
        <v>29.0</v>
      </c>
      <c r="K35" s="111">
        <v>41.0</v>
      </c>
      <c r="L35" s="111" t="str">
        <f t="shared" si="21"/>
        <v>70</v>
      </c>
      <c r="M35" s="111">
        <v>45.0</v>
      </c>
      <c r="N35" s="111">
        <v>22.0</v>
      </c>
      <c r="O35" s="112">
        <v>23.0</v>
      </c>
      <c r="P35" s="113">
        <v>18.0</v>
      </c>
      <c r="Q35" s="111">
        <v>29.0</v>
      </c>
      <c r="R35" s="115" t="str">
        <f t="shared" si="22"/>
        <v>47</v>
      </c>
      <c r="S35" s="111">
        <v>20.0</v>
      </c>
      <c r="T35" s="111">
        <v>10.0</v>
      </c>
      <c r="U35" s="112">
        <v>21.0</v>
      </c>
      <c r="V35" s="113">
        <v>30.0</v>
      </c>
      <c r="W35" s="111">
        <v>54.0</v>
      </c>
      <c r="X35" s="111" t="str">
        <f t="shared" si="14"/>
        <v>84</v>
      </c>
      <c r="Y35" s="111">
        <v>46.0</v>
      </c>
      <c r="Z35" s="111">
        <v>23.0</v>
      </c>
      <c r="AA35" s="112">
        <v>23.0</v>
      </c>
      <c r="AB35" s="113">
        <v>21.0</v>
      </c>
      <c r="AC35" s="112">
        <v>23.0</v>
      </c>
      <c r="AD35" s="117">
        <v>40.0</v>
      </c>
      <c r="AE35" s="118">
        <v>665.0</v>
      </c>
      <c r="AF35" s="119" t="str">
        <f t="shared" si="23"/>
        <v>78.24</v>
      </c>
      <c r="AG35" s="120" t="s">
        <v>91</v>
      </c>
      <c r="AH35" s="8"/>
      <c r="AI35" s="8"/>
      <c r="AJ35" s="8"/>
      <c r="AK35" s="8"/>
      <c r="AL35" s="8"/>
      <c r="AM35" s="8"/>
      <c r="AN35" s="8"/>
      <c r="AO35" s="8"/>
      <c r="AP35" s="8"/>
      <c r="AQ35" s="8"/>
    </row>
    <row r="36" ht="19.5" customHeight="1">
      <c r="A36" s="107">
        <v>2231.0</v>
      </c>
      <c r="B36" s="108">
        <v>2.4150940561E10</v>
      </c>
      <c r="C36" s="109">
        <v>106149.0</v>
      </c>
      <c r="D36" s="128" t="s">
        <v>145</v>
      </c>
      <c r="E36" s="113">
        <v>30.0</v>
      </c>
      <c r="F36" s="111">
        <v>61.0</v>
      </c>
      <c r="G36" s="111" t="str">
        <f t="shared" si="19"/>
        <v>91</v>
      </c>
      <c r="H36" s="111">
        <v>45.0</v>
      </c>
      <c r="I36" s="112">
        <v>23.0</v>
      </c>
      <c r="J36" s="113">
        <v>30.0</v>
      </c>
      <c r="K36" s="111">
        <v>53.0</v>
      </c>
      <c r="L36" s="111" t="str">
        <f t="shared" si="21"/>
        <v>83</v>
      </c>
      <c r="M36" s="111">
        <v>46.0</v>
      </c>
      <c r="N36" s="111">
        <v>23.0</v>
      </c>
      <c r="O36" s="112">
        <v>23.0</v>
      </c>
      <c r="P36" s="113">
        <v>29.0</v>
      </c>
      <c r="Q36" s="111">
        <v>55.0</v>
      </c>
      <c r="R36" s="115" t="str">
        <f t="shared" si="22"/>
        <v>84</v>
      </c>
      <c r="S36" s="111">
        <v>21.0</v>
      </c>
      <c r="T36" s="111">
        <v>20.0</v>
      </c>
      <c r="U36" s="112">
        <v>21.0</v>
      </c>
      <c r="V36" s="113">
        <v>30.0</v>
      </c>
      <c r="W36" s="111">
        <v>56.0</v>
      </c>
      <c r="X36" s="111">
        <v>86.0</v>
      </c>
      <c r="Y36" s="111">
        <v>43.0</v>
      </c>
      <c r="Z36" s="111">
        <v>22.0</v>
      </c>
      <c r="AA36" s="112">
        <v>22.0</v>
      </c>
      <c r="AB36" s="113">
        <v>22.0</v>
      </c>
      <c r="AC36" s="112">
        <v>23.0</v>
      </c>
      <c r="AD36" s="117">
        <v>41.0</v>
      </c>
      <c r="AE36" s="118">
        <v>739.0</v>
      </c>
      <c r="AF36" s="119" t="str">
        <f t="shared" si="23"/>
        <v>86.94</v>
      </c>
      <c r="AG36" s="120" t="s">
        <v>91</v>
      </c>
      <c r="AH36" s="8"/>
      <c r="AI36" s="8"/>
      <c r="AJ36" s="8"/>
      <c r="AK36" s="8"/>
      <c r="AL36" s="8"/>
      <c r="AM36" s="8"/>
      <c r="AN36" s="8"/>
      <c r="AO36" s="8"/>
      <c r="AP36" s="8"/>
      <c r="AQ36" s="8"/>
    </row>
    <row r="37" ht="19.5" customHeight="1">
      <c r="A37" s="107">
        <v>2232.0</v>
      </c>
      <c r="B37" s="108">
        <v>2.4150940397E10</v>
      </c>
      <c r="C37" s="109">
        <v>105996.0</v>
      </c>
      <c r="D37" s="69" t="s">
        <v>146</v>
      </c>
      <c r="E37" s="110">
        <v>27.0</v>
      </c>
      <c r="F37" s="111">
        <v>63.0</v>
      </c>
      <c r="G37" s="111" t="str">
        <f t="shared" si="19"/>
        <v>90</v>
      </c>
      <c r="H37" s="111">
        <v>44.0</v>
      </c>
      <c r="I37" s="112">
        <v>22.0</v>
      </c>
      <c r="J37" s="110">
        <v>26.0</v>
      </c>
      <c r="K37" s="111">
        <v>45.0</v>
      </c>
      <c r="L37" s="111" t="str">
        <f t="shared" si="21"/>
        <v>71</v>
      </c>
      <c r="M37" s="111">
        <v>45.0</v>
      </c>
      <c r="N37" s="111">
        <v>22.0</v>
      </c>
      <c r="O37" s="112">
        <v>21.0</v>
      </c>
      <c r="P37" s="113">
        <v>29.0</v>
      </c>
      <c r="Q37" s="111">
        <v>57.0</v>
      </c>
      <c r="R37" s="115" t="str">
        <f t="shared" si="22"/>
        <v>86</v>
      </c>
      <c r="S37" s="111">
        <v>20.0</v>
      </c>
      <c r="T37" s="111">
        <v>16.0</v>
      </c>
      <c r="U37" s="112">
        <v>20.0</v>
      </c>
      <c r="V37" s="113">
        <v>27.0</v>
      </c>
      <c r="W37" s="111">
        <v>60.0</v>
      </c>
      <c r="X37" s="111" t="str">
        <f t="shared" ref="X37:X43" si="24">SUM(V37:W37)</f>
        <v>87</v>
      </c>
      <c r="Y37" s="111">
        <v>44.0</v>
      </c>
      <c r="Z37" s="111">
        <v>22.0</v>
      </c>
      <c r="AA37" s="112">
        <v>22.0</v>
      </c>
      <c r="AB37" s="113">
        <v>22.0</v>
      </c>
      <c r="AC37" s="112">
        <v>22.0</v>
      </c>
      <c r="AD37" s="117">
        <v>41.0</v>
      </c>
      <c r="AE37" s="118">
        <v>717.0</v>
      </c>
      <c r="AF37" s="119" t="str">
        <f t="shared" si="23"/>
        <v>84.35</v>
      </c>
      <c r="AG37" s="120" t="s">
        <v>91</v>
      </c>
      <c r="AH37" s="8"/>
      <c r="AI37" s="8"/>
      <c r="AJ37" s="8"/>
      <c r="AK37" s="8"/>
      <c r="AL37" s="8"/>
      <c r="AM37" s="8"/>
      <c r="AN37" s="8"/>
      <c r="AO37" s="8"/>
      <c r="AP37" s="8"/>
      <c r="AQ37" s="8"/>
    </row>
    <row r="38" ht="19.5" customHeight="1">
      <c r="A38" s="107">
        <v>2233.0</v>
      </c>
      <c r="B38" s="108">
        <v>2.4150940412E10</v>
      </c>
      <c r="C38" s="109">
        <v>106011.0</v>
      </c>
      <c r="D38" s="69" t="s">
        <v>147</v>
      </c>
      <c r="E38" s="113">
        <v>23.0</v>
      </c>
      <c r="F38" s="111">
        <v>56.0</v>
      </c>
      <c r="G38" s="111" t="str">
        <f t="shared" si="19"/>
        <v>79</v>
      </c>
      <c r="H38" s="111">
        <v>44.0</v>
      </c>
      <c r="I38" s="112">
        <v>20.0</v>
      </c>
      <c r="J38" s="113">
        <v>23.0</v>
      </c>
      <c r="K38" s="111">
        <v>44.0</v>
      </c>
      <c r="L38" s="111" t="str">
        <f t="shared" si="21"/>
        <v>67</v>
      </c>
      <c r="M38" s="111">
        <v>40.0</v>
      </c>
      <c r="N38" s="111">
        <v>19.0</v>
      </c>
      <c r="O38" s="112">
        <v>21.0</v>
      </c>
      <c r="P38" s="113">
        <v>25.0</v>
      </c>
      <c r="Q38" s="111">
        <v>47.0</v>
      </c>
      <c r="R38" s="115" t="str">
        <f t="shared" si="22"/>
        <v>72</v>
      </c>
      <c r="S38" s="111">
        <v>18.0</v>
      </c>
      <c r="T38" s="111">
        <v>18.0</v>
      </c>
      <c r="U38" s="112">
        <v>20.0</v>
      </c>
      <c r="V38" s="113">
        <v>20.0</v>
      </c>
      <c r="W38" s="111">
        <v>47.0</v>
      </c>
      <c r="X38" s="111" t="str">
        <f t="shared" si="24"/>
        <v>67</v>
      </c>
      <c r="Y38" s="111">
        <v>43.0</v>
      </c>
      <c r="Z38" s="111">
        <v>22.0</v>
      </c>
      <c r="AA38" s="112">
        <v>22.0</v>
      </c>
      <c r="AB38" s="113">
        <v>21.0</v>
      </c>
      <c r="AC38" s="112">
        <v>21.0</v>
      </c>
      <c r="AD38" s="117">
        <v>43.0</v>
      </c>
      <c r="AE38" s="118">
        <v>657.0</v>
      </c>
      <c r="AF38" s="119" t="str">
        <f t="shared" si="23"/>
        <v>77.29</v>
      </c>
      <c r="AG38" s="120" t="s">
        <v>91</v>
      </c>
      <c r="AH38" s="8"/>
      <c r="AI38" s="8"/>
      <c r="AJ38" s="8"/>
      <c r="AK38" s="8"/>
      <c r="AL38" s="8"/>
      <c r="AM38" s="8"/>
      <c r="AN38" s="8"/>
      <c r="AO38" s="8"/>
      <c r="AP38" s="8"/>
      <c r="AQ38" s="8"/>
    </row>
    <row r="39" ht="19.5" customHeight="1">
      <c r="A39" s="107">
        <v>2234.0</v>
      </c>
      <c r="B39" s="108">
        <v>2.4150940573E10</v>
      </c>
      <c r="C39" s="109">
        <v>106161.0</v>
      </c>
      <c r="D39" s="128" t="s">
        <v>148</v>
      </c>
      <c r="E39" s="113">
        <v>29.0</v>
      </c>
      <c r="F39" s="111">
        <v>42.0</v>
      </c>
      <c r="G39" s="111" t="str">
        <f t="shared" si="19"/>
        <v>71</v>
      </c>
      <c r="H39" s="111">
        <v>46.0</v>
      </c>
      <c r="I39" s="112">
        <v>23.0</v>
      </c>
      <c r="J39" s="110">
        <v>26.0</v>
      </c>
      <c r="K39" s="111">
        <v>36.0</v>
      </c>
      <c r="L39" s="111" t="str">
        <f t="shared" si="21"/>
        <v>62</v>
      </c>
      <c r="M39" s="111">
        <v>42.0</v>
      </c>
      <c r="N39" s="111">
        <v>20.0</v>
      </c>
      <c r="O39" s="112">
        <v>22.0</v>
      </c>
      <c r="P39" s="113">
        <v>23.0</v>
      </c>
      <c r="Q39" s="111">
        <v>55.0</v>
      </c>
      <c r="R39" s="115" t="str">
        <f t="shared" si="22"/>
        <v>78</v>
      </c>
      <c r="S39" s="111">
        <v>21.0</v>
      </c>
      <c r="T39" s="111">
        <v>10.0</v>
      </c>
      <c r="U39" s="112">
        <v>22.0</v>
      </c>
      <c r="V39" s="113">
        <v>30.0</v>
      </c>
      <c r="W39" s="111">
        <v>44.0</v>
      </c>
      <c r="X39" s="111" t="str">
        <f t="shared" si="24"/>
        <v>74</v>
      </c>
      <c r="Y39" s="111">
        <v>45.0</v>
      </c>
      <c r="Z39" s="111">
        <v>23.0</v>
      </c>
      <c r="AA39" s="112">
        <v>23.0</v>
      </c>
      <c r="AB39" s="113">
        <v>22.0</v>
      </c>
      <c r="AC39" s="112">
        <v>22.0</v>
      </c>
      <c r="AD39" s="117">
        <v>39.0</v>
      </c>
      <c r="AE39" s="118">
        <v>675.0</v>
      </c>
      <c r="AF39" s="119" t="str">
        <f t="shared" si="23"/>
        <v>79.41</v>
      </c>
      <c r="AG39" s="120" t="s">
        <v>91</v>
      </c>
      <c r="AH39" s="8"/>
      <c r="AI39" s="8"/>
      <c r="AJ39" s="8"/>
      <c r="AK39" s="8"/>
      <c r="AL39" s="8"/>
      <c r="AM39" s="8"/>
      <c r="AN39" s="8"/>
      <c r="AO39" s="8"/>
      <c r="AP39" s="8"/>
      <c r="AQ39" s="8"/>
    </row>
    <row r="40" ht="19.5" customHeight="1">
      <c r="A40" s="107">
        <v>2235.0</v>
      </c>
      <c r="B40" s="108">
        <v>2.4150940512E10</v>
      </c>
      <c r="C40" s="109">
        <v>106103.0</v>
      </c>
      <c r="D40" s="124" t="s">
        <v>149</v>
      </c>
      <c r="E40" s="113">
        <v>17.0</v>
      </c>
      <c r="F40" s="111">
        <v>45.0</v>
      </c>
      <c r="G40" s="111" t="str">
        <f t="shared" si="19"/>
        <v>62</v>
      </c>
      <c r="H40" s="111">
        <v>42.0</v>
      </c>
      <c r="I40" s="112">
        <v>20.0</v>
      </c>
      <c r="J40" s="113">
        <v>16.0</v>
      </c>
      <c r="K40" s="111">
        <v>27.0</v>
      </c>
      <c r="L40" s="111" t="str">
        <f t="shared" si="21"/>
        <v>43</v>
      </c>
      <c r="M40" s="111">
        <v>35.0</v>
      </c>
      <c r="N40" s="111">
        <v>18.0</v>
      </c>
      <c r="O40" s="112">
        <v>19.0</v>
      </c>
      <c r="P40" s="113">
        <v>17.0</v>
      </c>
      <c r="Q40" s="111">
        <v>30.0</v>
      </c>
      <c r="R40" s="115" t="str">
        <f t="shared" si="22"/>
        <v>47</v>
      </c>
      <c r="S40" s="111">
        <v>21.0</v>
      </c>
      <c r="T40" s="111">
        <v>20.0</v>
      </c>
      <c r="U40" s="112">
        <v>22.0</v>
      </c>
      <c r="V40" s="113">
        <v>25.0</v>
      </c>
      <c r="W40" s="111">
        <v>22.0</v>
      </c>
      <c r="X40" s="111" t="str">
        <f t="shared" si="24"/>
        <v>47</v>
      </c>
      <c r="Y40" s="111">
        <v>43.0</v>
      </c>
      <c r="Z40" s="111">
        <v>22.0</v>
      </c>
      <c r="AA40" s="112">
        <v>22.0</v>
      </c>
      <c r="AB40" s="113">
        <v>22.0</v>
      </c>
      <c r="AC40" s="112">
        <v>21.0</v>
      </c>
      <c r="AD40" s="117">
        <v>41.0</v>
      </c>
      <c r="AE40" s="118">
        <v>567.0</v>
      </c>
      <c r="AF40" s="119" t="str">
        <f t="shared" si="23"/>
        <v>66.71</v>
      </c>
      <c r="AG40" s="120" t="s">
        <v>93</v>
      </c>
      <c r="AH40" s="8"/>
      <c r="AI40" s="8"/>
      <c r="AJ40" s="8"/>
      <c r="AK40" s="8"/>
      <c r="AL40" s="8"/>
      <c r="AM40" s="8"/>
      <c r="AN40" s="8"/>
      <c r="AO40" s="8"/>
      <c r="AP40" s="8"/>
      <c r="AQ40" s="8"/>
    </row>
    <row r="41" ht="19.5" customHeight="1">
      <c r="A41" s="107">
        <v>2236.0</v>
      </c>
      <c r="B41" s="108">
        <v>2.4150940482E10</v>
      </c>
      <c r="C41" s="109">
        <v>106075.0</v>
      </c>
      <c r="D41" s="124" t="s">
        <v>70</v>
      </c>
      <c r="E41" s="113">
        <v>30.0</v>
      </c>
      <c r="F41" s="111">
        <v>63.0</v>
      </c>
      <c r="G41" s="111" t="str">
        <f t="shared" si="19"/>
        <v>93</v>
      </c>
      <c r="H41" s="111">
        <v>47.0</v>
      </c>
      <c r="I41" s="112">
        <v>24.0</v>
      </c>
      <c r="J41" s="113">
        <v>30.0</v>
      </c>
      <c r="K41" s="111">
        <v>62.0</v>
      </c>
      <c r="L41" s="111" t="str">
        <f t="shared" si="21"/>
        <v>92</v>
      </c>
      <c r="M41" s="111">
        <v>45.0</v>
      </c>
      <c r="N41" s="111">
        <v>23.0</v>
      </c>
      <c r="O41" s="112">
        <v>23.0</v>
      </c>
      <c r="P41" s="113">
        <v>29.0</v>
      </c>
      <c r="Q41" s="111">
        <v>69.0</v>
      </c>
      <c r="R41" s="115" t="str">
        <f t="shared" si="22"/>
        <v>98</v>
      </c>
      <c r="S41" s="111">
        <v>23.0</v>
      </c>
      <c r="T41" s="111">
        <v>21.0</v>
      </c>
      <c r="U41" s="112">
        <v>22.0</v>
      </c>
      <c r="V41" s="113">
        <v>30.0</v>
      </c>
      <c r="W41" s="111">
        <v>66.0</v>
      </c>
      <c r="X41" s="111" t="str">
        <f t="shared" si="24"/>
        <v>96</v>
      </c>
      <c r="Y41" s="111">
        <v>47.0</v>
      </c>
      <c r="Z41" s="111">
        <v>23.0</v>
      </c>
      <c r="AA41" s="112">
        <v>24.0</v>
      </c>
      <c r="AB41" s="113">
        <v>23.0</v>
      </c>
      <c r="AC41" s="112">
        <v>23.0</v>
      </c>
      <c r="AD41" s="117">
        <v>42.0</v>
      </c>
      <c r="AE41" s="118">
        <v>789.0</v>
      </c>
      <c r="AF41" s="119" t="str">
        <f t="shared" si="23"/>
        <v>92.82</v>
      </c>
      <c r="AG41" s="120" t="s">
        <v>91</v>
      </c>
      <c r="AH41" s="8"/>
      <c r="AI41" s="8"/>
      <c r="AJ41" s="8"/>
      <c r="AK41" s="8"/>
      <c r="AL41" s="8"/>
      <c r="AM41" s="8"/>
      <c r="AN41" s="8"/>
      <c r="AO41" s="8"/>
      <c r="AP41" s="8"/>
      <c r="AQ41" s="8"/>
    </row>
    <row r="42" ht="19.5" customHeight="1">
      <c r="A42" s="107">
        <v>2237.0</v>
      </c>
      <c r="B42" s="108">
        <v>2.4150940395E10</v>
      </c>
      <c r="C42" s="109">
        <v>105994.0</v>
      </c>
      <c r="D42" s="69" t="s">
        <v>71</v>
      </c>
      <c r="E42" s="113">
        <v>30.0</v>
      </c>
      <c r="F42" s="111">
        <v>62.0</v>
      </c>
      <c r="G42" s="111" t="str">
        <f t="shared" si="19"/>
        <v>92</v>
      </c>
      <c r="H42" s="111">
        <v>47.0</v>
      </c>
      <c r="I42" s="112">
        <v>23.0</v>
      </c>
      <c r="J42" s="113">
        <v>30.0</v>
      </c>
      <c r="K42" s="111">
        <v>63.0</v>
      </c>
      <c r="L42" s="111" t="str">
        <f t="shared" si="21"/>
        <v>93</v>
      </c>
      <c r="M42" s="111">
        <v>46.0</v>
      </c>
      <c r="N42" s="111">
        <v>23.0</v>
      </c>
      <c r="O42" s="112">
        <v>24.0</v>
      </c>
      <c r="P42" s="113">
        <v>28.0</v>
      </c>
      <c r="Q42" s="111">
        <v>61.0</v>
      </c>
      <c r="R42" s="115" t="str">
        <f t="shared" si="22"/>
        <v>89</v>
      </c>
      <c r="S42" s="111">
        <v>24.0</v>
      </c>
      <c r="T42" s="111">
        <v>22.0</v>
      </c>
      <c r="U42" s="112">
        <v>23.0</v>
      </c>
      <c r="V42" s="113">
        <v>29.0</v>
      </c>
      <c r="W42" s="111">
        <v>57.0</v>
      </c>
      <c r="X42" s="111" t="str">
        <f t="shared" si="24"/>
        <v>86</v>
      </c>
      <c r="Y42" s="111">
        <v>46.0</v>
      </c>
      <c r="Z42" s="111">
        <v>23.0</v>
      </c>
      <c r="AA42" s="112">
        <v>23.0</v>
      </c>
      <c r="AB42" s="113">
        <v>23.0</v>
      </c>
      <c r="AC42" s="112">
        <v>24.0</v>
      </c>
      <c r="AD42" s="117">
        <v>45.0</v>
      </c>
      <c r="AE42" s="118">
        <v>776.0</v>
      </c>
      <c r="AF42" s="119" t="str">
        <f t="shared" si="23"/>
        <v>91.29</v>
      </c>
      <c r="AG42" s="120" t="s">
        <v>91</v>
      </c>
      <c r="AH42" s="8"/>
      <c r="AI42" s="8"/>
      <c r="AJ42" s="8"/>
      <c r="AK42" s="8"/>
      <c r="AL42" s="8"/>
      <c r="AM42" s="8"/>
      <c r="AN42" s="8"/>
      <c r="AO42" s="8"/>
      <c r="AP42" s="8"/>
      <c r="AQ42" s="8"/>
    </row>
    <row r="43" ht="19.5" customHeight="1">
      <c r="A43" s="107">
        <v>2238.0</v>
      </c>
      <c r="B43" s="108">
        <v>2.4150940457E10</v>
      </c>
      <c r="C43" s="109">
        <v>106052.0</v>
      </c>
      <c r="D43" s="124" t="s">
        <v>69</v>
      </c>
      <c r="E43" s="113">
        <v>30.0</v>
      </c>
      <c r="F43" s="111">
        <v>62.0</v>
      </c>
      <c r="G43" s="111" t="str">
        <f t="shared" si="19"/>
        <v>92</v>
      </c>
      <c r="H43" s="111">
        <v>49.0</v>
      </c>
      <c r="I43" s="112">
        <v>25.0</v>
      </c>
      <c r="J43" s="113">
        <v>30.0</v>
      </c>
      <c r="K43" s="111">
        <v>62.0</v>
      </c>
      <c r="L43" s="111" t="str">
        <f t="shared" si="21"/>
        <v>92</v>
      </c>
      <c r="M43" s="111">
        <v>48.0</v>
      </c>
      <c r="N43" s="111">
        <v>24.0</v>
      </c>
      <c r="O43" s="112">
        <v>24.0</v>
      </c>
      <c r="P43" s="113">
        <v>29.0</v>
      </c>
      <c r="Q43" s="111">
        <v>70.0</v>
      </c>
      <c r="R43" s="115" t="str">
        <f t="shared" si="22"/>
        <v>99</v>
      </c>
      <c r="S43" s="111">
        <v>24.0</v>
      </c>
      <c r="T43" s="111">
        <v>23.0</v>
      </c>
      <c r="U43" s="112">
        <v>24.0</v>
      </c>
      <c r="V43" s="113">
        <v>30.0</v>
      </c>
      <c r="W43" s="111">
        <v>69.0</v>
      </c>
      <c r="X43" s="111" t="str">
        <f t="shared" si="24"/>
        <v>99</v>
      </c>
      <c r="Y43" s="111">
        <v>48.0</v>
      </c>
      <c r="Z43" s="111">
        <v>24.0</v>
      </c>
      <c r="AA43" s="112">
        <v>24.0</v>
      </c>
      <c r="AB43" s="113">
        <v>24.0</v>
      </c>
      <c r="AC43" s="112">
        <v>24.0</v>
      </c>
      <c r="AD43" s="117">
        <v>48.0</v>
      </c>
      <c r="AE43" s="118">
        <v>815.0</v>
      </c>
      <c r="AF43" s="119" t="str">
        <f t="shared" si="23"/>
        <v>95.88</v>
      </c>
      <c r="AG43" s="120" t="s">
        <v>91</v>
      </c>
      <c r="AH43" s="8"/>
      <c r="AI43" s="8"/>
      <c r="AJ43" s="8"/>
      <c r="AK43" s="8"/>
      <c r="AL43" s="8"/>
      <c r="AM43" s="8"/>
      <c r="AN43" s="8"/>
      <c r="AO43" s="8"/>
      <c r="AP43" s="8"/>
      <c r="AQ43" s="8"/>
    </row>
    <row r="44" ht="19.5" customHeight="1">
      <c r="A44" s="107">
        <v>2239.0</v>
      </c>
      <c r="B44" s="108">
        <v>2.4150940568E10</v>
      </c>
      <c r="C44" s="109">
        <v>106156.0</v>
      </c>
      <c r="D44" s="69" t="s">
        <v>150</v>
      </c>
      <c r="E44" s="113">
        <v>14.0</v>
      </c>
      <c r="F44" s="111">
        <v>35.0</v>
      </c>
      <c r="G44" s="111" t="str">
        <f t="shared" si="19"/>
        <v>49</v>
      </c>
      <c r="H44" s="111">
        <v>20.0</v>
      </c>
      <c r="I44" s="112">
        <v>10.0</v>
      </c>
      <c r="J44" s="113">
        <v>12.0</v>
      </c>
      <c r="K44" s="123" t="s">
        <v>151</v>
      </c>
      <c r="L44" s="111">
        <v>30.0</v>
      </c>
      <c r="M44" s="111">
        <v>24.0</v>
      </c>
      <c r="N44" s="111">
        <v>14.0</v>
      </c>
      <c r="O44" s="112">
        <v>16.0</v>
      </c>
      <c r="P44" s="113">
        <v>12.0</v>
      </c>
      <c r="Q44" s="111" t="s">
        <v>152</v>
      </c>
      <c r="R44" s="115">
        <v>29.0</v>
      </c>
      <c r="S44" s="111">
        <v>10.0</v>
      </c>
      <c r="T44" s="111">
        <v>10.0</v>
      </c>
      <c r="U44" s="112">
        <v>10.0</v>
      </c>
      <c r="V44" s="113">
        <v>7.0</v>
      </c>
      <c r="W44" s="111" t="s">
        <v>99</v>
      </c>
      <c r="X44" s="111">
        <v>19.0</v>
      </c>
      <c r="Y44" s="111">
        <v>20.0</v>
      </c>
      <c r="Z44" s="111">
        <v>19.0</v>
      </c>
      <c r="AA44" s="112">
        <v>12.0</v>
      </c>
      <c r="AB44" s="113">
        <v>12.0</v>
      </c>
      <c r="AC44" s="112">
        <v>11.0</v>
      </c>
      <c r="AD44" s="117">
        <v>35.0</v>
      </c>
      <c r="AE44" s="118">
        <v>350.0</v>
      </c>
      <c r="AF44" s="119"/>
      <c r="AG44" s="120" t="s">
        <v>100</v>
      </c>
      <c r="AH44" s="8"/>
      <c r="AI44" s="8"/>
      <c r="AJ44" s="8"/>
      <c r="AK44" s="8"/>
      <c r="AL44" s="8"/>
      <c r="AM44" s="8"/>
      <c r="AN44" s="8"/>
      <c r="AO44" s="8"/>
      <c r="AP44" s="8"/>
      <c r="AQ44" s="8"/>
    </row>
    <row r="45" ht="19.5" customHeight="1">
      <c r="A45" s="107">
        <v>2240.0</v>
      </c>
      <c r="B45" s="108">
        <v>2.4150940536E10</v>
      </c>
      <c r="C45" s="109">
        <v>106126.0</v>
      </c>
      <c r="D45" s="69" t="s">
        <v>153</v>
      </c>
      <c r="E45" s="113">
        <v>23.0</v>
      </c>
      <c r="F45" s="111">
        <v>57.0</v>
      </c>
      <c r="G45" s="111" t="str">
        <f t="shared" si="19"/>
        <v>80</v>
      </c>
      <c r="H45" s="111">
        <v>34.0</v>
      </c>
      <c r="I45" s="112">
        <v>15.0</v>
      </c>
      <c r="J45" s="113">
        <v>13.0</v>
      </c>
      <c r="K45" s="111">
        <v>33.0</v>
      </c>
      <c r="L45" s="111" t="str">
        <f t="shared" ref="L45:L58" si="25">SUM(J45:K45)</f>
        <v>46</v>
      </c>
      <c r="M45" s="111">
        <v>24.0</v>
      </c>
      <c r="N45" s="111">
        <v>18.0</v>
      </c>
      <c r="O45" s="112">
        <v>16.0</v>
      </c>
      <c r="P45" s="113">
        <v>15.0</v>
      </c>
      <c r="Q45" s="111">
        <v>25.0</v>
      </c>
      <c r="R45" s="115" t="str">
        <f t="shared" ref="R45:R51" si="26">SUM(P45:Q45)</f>
        <v>40</v>
      </c>
      <c r="S45" s="111">
        <v>10.0</v>
      </c>
      <c r="T45" s="111">
        <v>10.0</v>
      </c>
      <c r="U45" s="112">
        <v>18.0</v>
      </c>
      <c r="V45" s="113">
        <v>15.0</v>
      </c>
      <c r="W45" s="123" t="s">
        <v>119</v>
      </c>
      <c r="X45" s="111">
        <v>34.0</v>
      </c>
      <c r="Y45" s="111">
        <v>20.0</v>
      </c>
      <c r="Z45" s="111">
        <v>19.0</v>
      </c>
      <c r="AA45" s="112">
        <v>12.0</v>
      </c>
      <c r="AB45" s="129">
        <v>12.0</v>
      </c>
      <c r="AC45" s="130">
        <v>16.0</v>
      </c>
      <c r="AD45" s="117">
        <v>35.0</v>
      </c>
      <c r="AE45" s="118">
        <v>462.0</v>
      </c>
      <c r="AF45" s="119" t="str">
        <f t="shared" ref="AF45:AF51" si="27">AE45/850*100</f>
        <v>54.35</v>
      </c>
      <c r="AG45" s="120" t="s">
        <v>103</v>
      </c>
      <c r="AH45" s="8"/>
      <c r="AI45" s="8"/>
      <c r="AJ45" s="8"/>
      <c r="AK45" s="8"/>
      <c r="AL45" s="8"/>
      <c r="AM45" s="8"/>
      <c r="AN45" s="8"/>
      <c r="AO45" s="8"/>
      <c r="AP45" s="8"/>
      <c r="AQ45" s="8"/>
    </row>
    <row r="46" ht="19.5" customHeight="1">
      <c r="A46" s="107">
        <v>2241.0</v>
      </c>
      <c r="B46" s="108">
        <v>2.4150940526E10</v>
      </c>
      <c r="C46" s="109">
        <v>106117.0</v>
      </c>
      <c r="D46" s="69" t="s">
        <v>154</v>
      </c>
      <c r="E46" s="110">
        <v>30.0</v>
      </c>
      <c r="F46" s="111">
        <v>57.0</v>
      </c>
      <c r="G46" s="111" t="str">
        <f t="shared" si="19"/>
        <v>87</v>
      </c>
      <c r="H46" s="111">
        <v>46.0</v>
      </c>
      <c r="I46" s="112">
        <v>24.0</v>
      </c>
      <c r="J46" s="110">
        <v>28.0</v>
      </c>
      <c r="K46" s="111">
        <v>56.0</v>
      </c>
      <c r="L46" s="111" t="str">
        <f t="shared" si="25"/>
        <v>84</v>
      </c>
      <c r="M46" s="111">
        <v>45.0</v>
      </c>
      <c r="N46" s="111">
        <v>23.0</v>
      </c>
      <c r="O46" s="112">
        <v>23.0</v>
      </c>
      <c r="P46" s="113">
        <v>28.0</v>
      </c>
      <c r="Q46" s="111">
        <v>42.0</v>
      </c>
      <c r="R46" s="115" t="str">
        <f t="shared" si="26"/>
        <v>70</v>
      </c>
      <c r="S46" s="111">
        <v>24.0</v>
      </c>
      <c r="T46" s="111">
        <v>20.0</v>
      </c>
      <c r="U46" s="112">
        <v>23.0</v>
      </c>
      <c r="V46" s="113">
        <v>30.0</v>
      </c>
      <c r="W46" s="111">
        <v>54.0</v>
      </c>
      <c r="X46" s="111" t="str">
        <f t="shared" ref="X46:X51" si="28">SUM(V46:W46)</f>
        <v>84</v>
      </c>
      <c r="Y46" s="111">
        <v>46.0</v>
      </c>
      <c r="Z46" s="111">
        <v>23.0</v>
      </c>
      <c r="AA46" s="112">
        <v>23.0</v>
      </c>
      <c r="AB46" s="113">
        <v>22.0</v>
      </c>
      <c r="AC46" s="112">
        <v>22.0</v>
      </c>
      <c r="AD46" s="117">
        <v>44.0</v>
      </c>
      <c r="AE46" s="118">
        <v>733.0</v>
      </c>
      <c r="AF46" s="119" t="str">
        <f t="shared" si="27"/>
        <v>86.24</v>
      </c>
      <c r="AG46" s="120" t="s">
        <v>91</v>
      </c>
      <c r="AH46" s="8"/>
      <c r="AI46" s="8"/>
      <c r="AJ46" s="8"/>
      <c r="AK46" s="8"/>
      <c r="AL46" s="8"/>
      <c r="AM46" s="8"/>
      <c r="AN46" s="8"/>
      <c r="AO46" s="8"/>
      <c r="AP46" s="8"/>
      <c r="AQ46" s="8"/>
    </row>
    <row r="47" ht="19.5" customHeight="1">
      <c r="A47" s="107">
        <v>2242.0</v>
      </c>
      <c r="B47" s="108">
        <v>2.4150940499E10</v>
      </c>
      <c r="C47" s="109">
        <v>106091.0</v>
      </c>
      <c r="D47" s="124" t="s">
        <v>155</v>
      </c>
      <c r="E47" s="113">
        <v>28.0</v>
      </c>
      <c r="F47" s="111">
        <v>57.0</v>
      </c>
      <c r="G47" s="111" t="str">
        <f t="shared" si="19"/>
        <v>85</v>
      </c>
      <c r="H47" s="111">
        <v>47.0</v>
      </c>
      <c r="I47" s="112">
        <v>24.0</v>
      </c>
      <c r="J47" s="113">
        <v>30.0</v>
      </c>
      <c r="K47" s="111">
        <v>49.0</v>
      </c>
      <c r="L47" s="111" t="str">
        <f t="shared" si="25"/>
        <v>79</v>
      </c>
      <c r="M47" s="111">
        <v>46.0</v>
      </c>
      <c r="N47" s="111">
        <v>23.0</v>
      </c>
      <c r="O47" s="112">
        <v>24.0</v>
      </c>
      <c r="P47" s="113">
        <v>30.0</v>
      </c>
      <c r="Q47" s="111">
        <v>58.0</v>
      </c>
      <c r="R47" s="115" t="str">
        <f t="shared" si="26"/>
        <v>88</v>
      </c>
      <c r="S47" s="111">
        <v>24.0</v>
      </c>
      <c r="T47" s="111">
        <v>22.0</v>
      </c>
      <c r="U47" s="112">
        <v>24.0</v>
      </c>
      <c r="V47" s="113">
        <v>30.0</v>
      </c>
      <c r="W47" s="111">
        <v>63.0</v>
      </c>
      <c r="X47" s="111" t="str">
        <f t="shared" si="28"/>
        <v>93</v>
      </c>
      <c r="Y47" s="111">
        <v>45.0</v>
      </c>
      <c r="Z47" s="111">
        <v>23.0</v>
      </c>
      <c r="AA47" s="112">
        <v>23.0</v>
      </c>
      <c r="AB47" s="113">
        <v>22.0</v>
      </c>
      <c r="AC47" s="112">
        <v>22.0</v>
      </c>
      <c r="AD47" s="117">
        <v>45.0</v>
      </c>
      <c r="AE47" s="118">
        <v>769.0</v>
      </c>
      <c r="AF47" s="119" t="str">
        <f t="shared" si="27"/>
        <v>90.47</v>
      </c>
      <c r="AG47" s="120" t="s">
        <v>91</v>
      </c>
      <c r="AH47" s="8"/>
      <c r="AI47" s="8"/>
      <c r="AJ47" s="8"/>
      <c r="AK47" s="8"/>
      <c r="AL47" s="8"/>
      <c r="AM47" s="8"/>
      <c r="AN47" s="8"/>
      <c r="AO47" s="8"/>
      <c r="AP47" s="8"/>
      <c r="AQ47" s="8"/>
    </row>
    <row r="48" ht="19.5" customHeight="1">
      <c r="A48" s="107">
        <v>2243.0</v>
      </c>
      <c r="B48" s="108">
        <v>2.4150940396E10</v>
      </c>
      <c r="C48" s="109">
        <v>105995.0</v>
      </c>
      <c r="D48" s="69" t="s">
        <v>156</v>
      </c>
      <c r="E48" s="113">
        <v>24.0</v>
      </c>
      <c r="F48" s="111">
        <v>44.0</v>
      </c>
      <c r="G48" s="111" t="str">
        <f t="shared" si="19"/>
        <v>68</v>
      </c>
      <c r="H48" s="111">
        <v>36.0</v>
      </c>
      <c r="I48" s="112">
        <v>20.0</v>
      </c>
      <c r="J48" s="110">
        <v>20.0</v>
      </c>
      <c r="K48" s="111">
        <v>28.0</v>
      </c>
      <c r="L48" s="111" t="str">
        <f t="shared" si="25"/>
        <v>48</v>
      </c>
      <c r="M48" s="111">
        <v>40.0</v>
      </c>
      <c r="N48" s="111">
        <v>21.0</v>
      </c>
      <c r="O48" s="112">
        <v>16.0</v>
      </c>
      <c r="P48" s="113">
        <v>19.0</v>
      </c>
      <c r="Q48" s="111">
        <v>30.0</v>
      </c>
      <c r="R48" s="115" t="str">
        <f t="shared" si="26"/>
        <v>49</v>
      </c>
      <c r="S48" s="111">
        <v>11.0</v>
      </c>
      <c r="T48" s="111">
        <v>10.0</v>
      </c>
      <c r="U48" s="112">
        <v>10.0</v>
      </c>
      <c r="V48" s="113">
        <v>22.0</v>
      </c>
      <c r="W48" s="111">
        <v>24.0</v>
      </c>
      <c r="X48" s="111" t="str">
        <f t="shared" si="28"/>
        <v>46</v>
      </c>
      <c r="Y48" s="111">
        <v>20.0</v>
      </c>
      <c r="Z48" s="111">
        <v>19.0</v>
      </c>
      <c r="AA48" s="112">
        <v>12.0</v>
      </c>
      <c r="AB48" s="113">
        <v>18.0</v>
      </c>
      <c r="AC48" s="112">
        <v>21.0</v>
      </c>
      <c r="AD48" s="117">
        <v>40.0</v>
      </c>
      <c r="AE48" s="118">
        <v>510.0</v>
      </c>
      <c r="AF48" s="119" t="str">
        <f t="shared" si="27"/>
        <v>60.00</v>
      </c>
      <c r="AG48" s="120" t="s">
        <v>93</v>
      </c>
      <c r="AH48" s="8"/>
      <c r="AI48" s="8"/>
      <c r="AJ48" s="8"/>
      <c r="AK48" s="8"/>
      <c r="AL48" s="8"/>
      <c r="AM48" s="8"/>
      <c r="AN48" s="8"/>
      <c r="AO48" s="8"/>
      <c r="AP48" s="8"/>
      <c r="AQ48" s="8"/>
    </row>
    <row r="49" ht="19.5" customHeight="1">
      <c r="A49" s="107">
        <v>2244.0</v>
      </c>
      <c r="B49" s="108">
        <v>2.4150940453E10</v>
      </c>
      <c r="C49" s="109">
        <v>106048.0</v>
      </c>
      <c r="D49" s="69" t="s">
        <v>157</v>
      </c>
      <c r="E49" s="113">
        <v>28.0</v>
      </c>
      <c r="F49" s="111">
        <v>40.0</v>
      </c>
      <c r="G49" s="111" t="str">
        <f t="shared" si="19"/>
        <v>68</v>
      </c>
      <c r="H49" s="111">
        <v>40.0</v>
      </c>
      <c r="I49" s="112">
        <v>16.0</v>
      </c>
      <c r="J49" s="113">
        <v>19.0</v>
      </c>
      <c r="K49" s="111">
        <v>31.0</v>
      </c>
      <c r="L49" s="111" t="str">
        <f t="shared" si="25"/>
        <v>50</v>
      </c>
      <c r="M49" s="111">
        <v>32.0</v>
      </c>
      <c r="N49" s="111">
        <v>17.0</v>
      </c>
      <c r="O49" s="112">
        <v>16.0</v>
      </c>
      <c r="P49" s="113">
        <v>21.0</v>
      </c>
      <c r="Q49" s="111">
        <v>41.0</v>
      </c>
      <c r="R49" s="115" t="str">
        <f t="shared" si="26"/>
        <v>62</v>
      </c>
      <c r="S49" s="111">
        <v>17.0</v>
      </c>
      <c r="T49" s="111">
        <v>10.0</v>
      </c>
      <c r="U49" s="112">
        <v>10.0</v>
      </c>
      <c r="V49" s="113">
        <v>26.0</v>
      </c>
      <c r="W49" s="111">
        <v>29.0</v>
      </c>
      <c r="X49" s="111" t="str">
        <f t="shared" si="28"/>
        <v>55</v>
      </c>
      <c r="Y49" s="111">
        <v>40.0</v>
      </c>
      <c r="Z49" s="111">
        <v>21.0</v>
      </c>
      <c r="AA49" s="112">
        <v>21.0</v>
      </c>
      <c r="AB49" s="113">
        <v>12.0</v>
      </c>
      <c r="AC49" s="112">
        <v>11.0</v>
      </c>
      <c r="AD49" s="117">
        <v>35.0</v>
      </c>
      <c r="AE49" s="118">
        <v>533.0</v>
      </c>
      <c r="AF49" s="119" t="str">
        <f t="shared" si="27"/>
        <v>62.71</v>
      </c>
      <c r="AG49" s="120" t="s">
        <v>93</v>
      </c>
      <c r="AH49" s="8"/>
      <c r="AI49" s="8"/>
      <c r="AJ49" s="8"/>
      <c r="AK49" s="8"/>
      <c r="AL49" s="8"/>
      <c r="AM49" s="8"/>
      <c r="AN49" s="8"/>
      <c r="AO49" s="8"/>
      <c r="AP49" s="8"/>
      <c r="AQ49" s="8"/>
    </row>
    <row r="50" ht="19.5" customHeight="1">
      <c r="A50" s="107">
        <v>2245.0</v>
      </c>
      <c r="B50" s="108">
        <v>2.4150940477E10</v>
      </c>
      <c r="C50" s="109">
        <v>106070.0</v>
      </c>
      <c r="D50" s="69" t="s">
        <v>158</v>
      </c>
      <c r="E50" s="110">
        <v>23.0</v>
      </c>
      <c r="F50" s="111">
        <v>45.0</v>
      </c>
      <c r="G50" s="111" t="str">
        <f t="shared" si="19"/>
        <v>68</v>
      </c>
      <c r="H50" s="111">
        <v>38.0</v>
      </c>
      <c r="I50" s="112">
        <v>14.0</v>
      </c>
      <c r="J50" s="113">
        <v>15.0</v>
      </c>
      <c r="K50" s="111">
        <v>39.0</v>
      </c>
      <c r="L50" s="111" t="str">
        <f t="shared" si="25"/>
        <v>54</v>
      </c>
      <c r="M50" s="111">
        <v>30.0</v>
      </c>
      <c r="N50" s="111">
        <v>20.0</v>
      </c>
      <c r="O50" s="112">
        <v>15.0</v>
      </c>
      <c r="P50" s="113">
        <v>13.0</v>
      </c>
      <c r="Q50" s="111">
        <v>29.0</v>
      </c>
      <c r="R50" s="115" t="str">
        <f t="shared" si="26"/>
        <v>42</v>
      </c>
      <c r="S50" s="111">
        <v>10.0</v>
      </c>
      <c r="T50" s="111">
        <v>14.0</v>
      </c>
      <c r="U50" s="112">
        <v>10.0</v>
      </c>
      <c r="V50" s="113">
        <v>19.0</v>
      </c>
      <c r="W50" s="111">
        <v>21.0</v>
      </c>
      <c r="X50" s="111" t="str">
        <f t="shared" si="28"/>
        <v>40</v>
      </c>
      <c r="Y50" s="111">
        <v>36.0</v>
      </c>
      <c r="Z50" s="111">
        <v>19.0</v>
      </c>
      <c r="AA50" s="112">
        <v>18.0</v>
      </c>
      <c r="AB50" s="113">
        <v>12.0</v>
      </c>
      <c r="AC50" s="112">
        <v>18.0</v>
      </c>
      <c r="AD50" s="117">
        <v>39.0</v>
      </c>
      <c r="AE50" s="118">
        <v>497.0</v>
      </c>
      <c r="AF50" s="119" t="str">
        <f t="shared" si="27"/>
        <v>58.47</v>
      </c>
      <c r="AG50" s="120" t="s">
        <v>143</v>
      </c>
      <c r="AH50" s="8"/>
      <c r="AI50" s="8"/>
      <c r="AJ50" s="8"/>
      <c r="AK50" s="8"/>
      <c r="AL50" s="8"/>
      <c r="AM50" s="8"/>
      <c r="AN50" s="8"/>
      <c r="AO50" s="8"/>
      <c r="AP50" s="8"/>
      <c r="AQ50" s="8"/>
    </row>
    <row r="51" ht="19.5" customHeight="1">
      <c r="A51" s="107">
        <v>2246.0</v>
      </c>
      <c r="B51" s="108">
        <v>2.4150940567E10</v>
      </c>
      <c r="C51" s="109">
        <v>106155.0</v>
      </c>
      <c r="D51" s="69" t="s">
        <v>159</v>
      </c>
      <c r="E51" s="113">
        <v>21.0</v>
      </c>
      <c r="F51" s="111">
        <v>45.0</v>
      </c>
      <c r="G51" s="111" t="str">
        <f t="shared" si="19"/>
        <v>66</v>
      </c>
      <c r="H51" s="111">
        <v>30.0</v>
      </c>
      <c r="I51" s="112">
        <v>12.0</v>
      </c>
      <c r="J51" s="113">
        <v>23.0</v>
      </c>
      <c r="K51" s="111">
        <v>28.0</v>
      </c>
      <c r="L51" s="111" t="str">
        <f t="shared" si="25"/>
        <v>51</v>
      </c>
      <c r="M51" s="111">
        <v>32.0</v>
      </c>
      <c r="N51" s="111">
        <v>18.0</v>
      </c>
      <c r="O51" s="112">
        <v>19.0</v>
      </c>
      <c r="P51" s="113">
        <v>15.0</v>
      </c>
      <c r="Q51" s="111">
        <v>27.0</v>
      </c>
      <c r="R51" s="115" t="str">
        <f t="shared" si="26"/>
        <v>42</v>
      </c>
      <c r="S51" s="111">
        <v>10.0</v>
      </c>
      <c r="T51" s="111">
        <v>10.0</v>
      </c>
      <c r="U51" s="112">
        <v>10.0</v>
      </c>
      <c r="V51" s="113">
        <v>25.0</v>
      </c>
      <c r="W51" s="111">
        <v>31.0</v>
      </c>
      <c r="X51" s="111" t="str">
        <f t="shared" si="28"/>
        <v>56</v>
      </c>
      <c r="Y51" s="111">
        <v>20.0</v>
      </c>
      <c r="Z51" s="111">
        <v>19.0</v>
      </c>
      <c r="AA51" s="112">
        <v>10.0</v>
      </c>
      <c r="AB51" s="113">
        <v>17.0</v>
      </c>
      <c r="AC51" s="112">
        <v>11.0</v>
      </c>
      <c r="AD51" s="117">
        <v>35.0</v>
      </c>
      <c r="AE51" s="118">
        <v>468.0</v>
      </c>
      <c r="AF51" s="119" t="str">
        <f t="shared" si="27"/>
        <v>55.06</v>
      </c>
      <c r="AG51" s="120" t="s">
        <v>143</v>
      </c>
      <c r="AH51" s="8"/>
      <c r="AI51" s="8"/>
      <c r="AJ51" s="8"/>
      <c r="AK51" s="8"/>
      <c r="AL51" s="8"/>
      <c r="AM51" s="8"/>
      <c r="AN51" s="8"/>
      <c r="AO51" s="8"/>
      <c r="AP51" s="8"/>
      <c r="AQ51" s="8"/>
    </row>
    <row r="52" ht="19.5" customHeight="1">
      <c r="A52" s="107">
        <v>2247.0</v>
      </c>
      <c r="B52" s="108">
        <v>2.4150940455E10</v>
      </c>
      <c r="C52" s="109">
        <v>106050.0</v>
      </c>
      <c r="D52" s="69" t="s">
        <v>160</v>
      </c>
      <c r="E52" s="113">
        <v>13.0</v>
      </c>
      <c r="F52" s="111" t="s">
        <v>161</v>
      </c>
      <c r="G52" s="111">
        <v>26.0</v>
      </c>
      <c r="H52" s="111">
        <v>28.0</v>
      </c>
      <c r="I52" s="112">
        <v>10.0</v>
      </c>
      <c r="J52" s="113">
        <v>12.0</v>
      </c>
      <c r="K52" s="122" t="s">
        <v>97</v>
      </c>
      <c r="L52" s="111" t="str">
        <f t="shared" si="25"/>
        <v>12</v>
      </c>
      <c r="M52" s="111">
        <v>24.0</v>
      </c>
      <c r="N52" s="111">
        <v>12.0</v>
      </c>
      <c r="O52" s="112">
        <v>17.0</v>
      </c>
      <c r="P52" s="113">
        <v>12.0</v>
      </c>
      <c r="Q52" s="111" t="s">
        <v>152</v>
      </c>
      <c r="R52" s="115">
        <v>29.0</v>
      </c>
      <c r="S52" s="111">
        <v>11.0</v>
      </c>
      <c r="T52" s="111">
        <v>10.0</v>
      </c>
      <c r="U52" s="112">
        <v>10.0</v>
      </c>
      <c r="V52" s="113">
        <v>17.0</v>
      </c>
      <c r="W52" s="111" t="s">
        <v>161</v>
      </c>
      <c r="X52" s="111">
        <v>30.0</v>
      </c>
      <c r="Y52" s="111">
        <v>37.0</v>
      </c>
      <c r="Z52" s="111">
        <v>20.0</v>
      </c>
      <c r="AA52" s="112">
        <v>20.0</v>
      </c>
      <c r="AB52" s="113">
        <v>10.0</v>
      </c>
      <c r="AC52" s="112">
        <v>11.0</v>
      </c>
      <c r="AD52" s="117">
        <v>35.0</v>
      </c>
      <c r="AE52" s="118">
        <v>352.0</v>
      </c>
      <c r="AF52" s="119"/>
      <c r="AG52" s="120" t="s">
        <v>100</v>
      </c>
      <c r="AH52" s="8"/>
      <c r="AI52" s="8"/>
      <c r="AJ52" s="8"/>
      <c r="AK52" s="8"/>
      <c r="AL52" s="8"/>
      <c r="AM52" s="8"/>
      <c r="AN52" s="8"/>
      <c r="AO52" s="8"/>
      <c r="AP52" s="8"/>
      <c r="AQ52" s="8"/>
    </row>
    <row r="53" ht="19.5" customHeight="1">
      <c r="A53" s="107">
        <v>2248.0</v>
      </c>
      <c r="B53" s="108">
        <v>2.4150940459E10</v>
      </c>
      <c r="C53" s="109">
        <v>106054.0</v>
      </c>
      <c r="D53" s="69" t="s">
        <v>162</v>
      </c>
      <c r="E53" s="113">
        <v>18.0</v>
      </c>
      <c r="F53" s="111">
        <v>57.0</v>
      </c>
      <c r="G53" s="111" t="str">
        <f t="shared" ref="G53:G61" si="29">SUM(E53:F53)</f>
        <v>75</v>
      </c>
      <c r="H53" s="111">
        <v>34.0</v>
      </c>
      <c r="I53" s="112">
        <v>14.0</v>
      </c>
      <c r="J53" s="113">
        <v>15.0</v>
      </c>
      <c r="K53" s="111">
        <v>39.0</v>
      </c>
      <c r="L53" s="111" t="str">
        <f t="shared" si="25"/>
        <v>54</v>
      </c>
      <c r="M53" s="111">
        <v>29.0</v>
      </c>
      <c r="N53" s="111">
        <v>17.0</v>
      </c>
      <c r="O53" s="112">
        <v>10.0</v>
      </c>
      <c r="P53" s="113">
        <v>18.0</v>
      </c>
      <c r="Q53" s="111">
        <v>56.0</v>
      </c>
      <c r="R53" s="115" t="str">
        <f t="shared" ref="R53:R58" si="30">SUM(P53:Q53)</f>
        <v>74</v>
      </c>
      <c r="S53" s="111">
        <v>17.0</v>
      </c>
      <c r="T53" s="111">
        <v>12.0</v>
      </c>
      <c r="U53" s="112">
        <v>10.0</v>
      </c>
      <c r="V53" s="113">
        <v>26.0</v>
      </c>
      <c r="W53" s="111">
        <v>57.0</v>
      </c>
      <c r="X53" s="111" t="str">
        <f t="shared" ref="X53:X59" si="31">SUM(V53:W53)</f>
        <v>83</v>
      </c>
      <c r="Y53" s="111">
        <v>39.0</v>
      </c>
      <c r="Z53" s="111">
        <v>21.0</v>
      </c>
      <c r="AA53" s="112">
        <v>21.0</v>
      </c>
      <c r="AB53" s="113">
        <v>11.0</v>
      </c>
      <c r="AC53" s="112">
        <v>11.0</v>
      </c>
      <c r="AD53" s="117">
        <v>35.0</v>
      </c>
      <c r="AE53" s="118">
        <v>562.0</v>
      </c>
      <c r="AF53" s="119" t="str">
        <f t="shared" ref="AF53:AF54" si="32">AE53/850*100</f>
        <v>66.12</v>
      </c>
      <c r="AG53" s="120" t="s">
        <v>93</v>
      </c>
      <c r="AH53" s="8"/>
      <c r="AI53" s="8"/>
      <c r="AJ53" s="8"/>
      <c r="AK53" s="8"/>
      <c r="AL53" s="8"/>
      <c r="AM53" s="8"/>
      <c r="AN53" s="8"/>
      <c r="AO53" s="8"/>
      <c r="AP53" s="8"/>
      <c r="AQ53" s="8"/>
    </row>
    <row r="54" ht="19.5" customHeight="1">
      <c r="A54" s="107">
        <v>2249.0</v>
      </c>
      <c r="B54" s="108">
        <v>2.4150940464E10</v>
      </c>
      <c r="C54" s="109">
        <v>106058.0</v>
      </c>
      <c r="D54" s="69" t="s">
        <v>163</v>
      </c>
      <c r="E54" s="113">
        <v>26.0</v>
      </c>
      <c r="F54" s="111">
        <v>51.0</v>
      </c>
      <c r="G54" s="111" t="str">
        <f t="shared" si="29"/>
        <v>77</v>
      </c>
      <c r="H54" s="111">
        <v>40.0</v>
      </c>
      <c r="I54" s="112">
        <v>14.0</v>
      </c>
      <c r="J54" s="113">
        <v>25.0</v>
      </c>
      <c r="K54" s="111">
        <v>31.0</v>
      </c>
      <c r="L54" s="111" t="str">
        <f t="shared" si="25"/>
        <v>56</v>
      </c>
      <c r="M54" s="111">
        <v>40.0</v>
      </c>
      <c r="N54" s="111">
        <v>20.0</v>
      </c>
      <c r="O54" s="112">
        <v>10.0</v>
      </c>
      <c r="P54" s="113">
        <v>19.0</v>
      </c>
      <c r="Q54" s="111">
        <v>32.0</v>
      </c>
      <c r="R54" s="115" t="str">
        <f t="shared" si="30"/>
        <v>51</v>
      </c>
      <c r="S54" s="111">
        <v>17.0</v>
      </c>
      <c r="T54" s="111">
        <v>14.0</v>
      </c>
      <c r="U54" s="112">
        <v>10.0</v>
      </c>
      <c r="V54" s="113">
        <v>28.0</v>
      </c>
      <c r="W54" s="111">
        <v>34.0</v>
      </c>
      <c r="X54" s="111" t="str">
        <f t="shared" si="31"/>
        <v>62</v>
      </c>
      <c r="Y54" s="111">
        <v>40.0</v>
      </c>
      <c r="Z54" s="111">
        <v>21.0</v>
      </c>
      <c r="AA54" s="112">
        <v>21.0</v>
      </c>
      <c r="AB54" s="113">
        <v>12.0</v>
      </c>
      <c r="AC54" s="112">
        <v>11.0</v>
      </c>
      <c r="AD54" s="117">
        <v>35.0</v>
      </c>
      <c r="AE54" s="118">
        <v>551.0</v>
      </c>
      <c r="AF54" s="119" t="str">
        <f t="shared" si="32"/>
        <v>64.82</v>
      </c>
      <c r="AG54" s="120" t="s">
        <v>93</v>
      </c>
      <c r="AH54" s="8"/>
      <c r="AI54" s="8"/>
      <c r="AJ54" s="8"/>
      <c r="AK54" s="8"/>
      <c r="AL54" s="8"/>
      <c r="AM54" s="8"/>
      <c r="AN54" s="8"/>
      <c r="AO54" s="8"/>
      <c r="AP54" s="8"/>
      <c r="AQ54" s="8"/>
    </row>
    <row r="55" ht="19.5" customHeight="1">
      <c r="A55" s="107">
        <v>2250.0</v>
      </c>
      <c r="B55" s="108">
        <v>2.4150940577E10</v>
      </c>
      <c r="C55" s="109">
        <v>106165.0</v>
      </c>
      <c r="D55" s="69" t="s">
        <v>164</v>
      </c>
      <c r="E55" s="113">
        <v>22.0</v>
      </c>
      <c r="F55" s="111">
        <v>49.0</v>
      </c>
      <c r="G55" s="111" t="str">
        <f t="shared" si="29"/>
        <v>71</v>
      </c>
      <c r="H55" s="111">
        <v>36.0</v>
      </c>
      <c r="I55" s="112">
        <v>13.0</v>
      </c>
      <c r="J55" s="113">
        <v>23.0</v>
      </c>
      <c r="K55" s="111">
        <v>41.0</v>
      </c>
      <c r="L55" s="111" t="str">
        <f t="shared" si="25"/>
        <v>64</v>
      </c>
      <c r="M55" s="111">
        <v>40.0</v>
      </c>
      <c r="N55" s="111">
        <v>20.0</v>
      </c>
      <c r="O55" s="112">
        <v>10.0</v>
      </c>
      <c r="P55" s="113">
        <v>16.0</v>
      </c>
      <c r="Q55" s="111">
        <v>36.0</v>
      </c>
      <c r="R55" s="115" t="str">
        <f t="shared" si="30"/>
        <v>52</v>
      </c>
      <c r="S55" s="111">
        <v>13.0</v>
      </c>
      <c r="T55" s="111">
        <v>10.0</v>
      </c>
      <c r="U55" s="112">
        <v>10.0</v>
      </c>
      <c r="V55" s="113">
        <v>24.0</v>
      </c>
      <c r="W55" s="111">
        <v>26.0</v>
      </c>
      <c r="X55" s="111" t="str">
        <f t="shared" si="31"/>
        <v>50</v>
      </c>
      <c r="Y55" s="111">
        <v>41.0</v>
      </c>
      <c r="Z55" s="111">
        <v>21.0</v>
      </c>
      <c r="AA55" s="112">
        <v>21.0</v>
      </c>
      <c r="AB55" s="113">
        <v>12.0</v>
      </c>
      <c r="AC55" s="112">
        <v>11.0</v>
      </c>
      <c r="AD55" s="117">
        <v>35.0</v>
      </c>
      <c r="AE55" s="118">
        <v>357.0</v>
      </c>
      <c r="AF55" s="119"/>
      <c r="AG55" s="120" t="s">
        <v>100</v>
      </c>
      <c r="AH55" s="8"/>
      <c r="AI55" s="8"/>
      <c r="AJ55" s="8"/>
      <c r="AK55" s="8"/>
      <c r="AL55" s="8"/>
      <c r="AM55" s="8"/>
      <c r="AN55" s="8"/>
      <c r="AO55" s="8"/>
      <c r="AP55" s="8"/>
      <c r="AQ55" s="8"/>
    </row>
    <row r="56" ht="19.5" customHeight="1">
      <c r="A56" s="107">
        <v>2251.0</v>
      </c>
      <c r="B56" s="108">
        <v>2.4150940474E10</v>
      </c>
      <c r="C56" s="109">
        <v>106067.0</v>
      </c>
      <c r="D56" s="69" t="s">
        <v>165</v>
      </c>
      <c r="E56" s="113">
        <v>26.0</v>
      </c>
      <c r="F56" s="111">
        <v>56.0</v>
      </c>
      <c r="G56" s="111" t="str">
        <f t="shared" si="29"/>
        <v>82</v>
      </c>
      <c r="H56" s="111">
        <v>44.0</v>
      </c>
      <c r="I56" s="112">
        <v>21.0</v>
      </c>
      <c r="J56" s="113">
        <v>25.0</v>
      </c>
      <c r="K56" s="111">
        <v>46.0</v>
      </c>
      <c r="L56" s="111" t="str">
        <f t="shared" si="25"/>
        <v>71</v>
      </c>
      <c r="M56" s="111">
        <v>42.0</v>
      </c>
      <c r="N56" s="111">
        <v>20.0</v>
      </c>
      <c r="O56" s="112">
        <v>21.0</v>
      </c>
      <c r="P56" s="113">
        <v>23.0</v>
      </c>
      <c r="Q56" s="111">
        <v>50.0</v>
      </c>
      <c r="R56" s="115" t="str">
        <f t="shared" si="30"/>
        <v>73</v>
      </c>
      <c r="S56" s="111">
        <v>22.0</v>
      </c>
      <c r="T56" s="111">
        <v>20.0</v>
      </c>
      <c r="U56" s="112">
        <v>23.0</v>
      </c>
      <c r="V56" s="113">
        <v>26.0</v>
      </c>
      <c r="W56" s="111">
        <v>39.0</v>
      </c>
      <c r="X56" s="111" t="str">
        <f t="shared" si="31"/>
        <v>65</v>
      </c>
      <c r="Y56" s="111">
        <v>41.0</v>
      </c>
      <c r="Z56" s="111">
        <v>21.0</v>
      </c>
      <c r="AA56" s="112">
        <v>21.0</v>
      </c>
      <c r="AB56" s="113">
        <v>20.0</v>
      </c>
      <c r="AC56" s="112">
        <v>21.0</v>
      </c>
      <c r="AD56" s="117">
        <v>41.0</v>
      </c>
      <c r="AE56" s="118">
        <v>669.0</v>
      </c>
      <c r="AF56" s="119" t="str">
        <f>AE56/850*100</f>
        <v>78.71</v>
      </c>
      <c r="AG56" s="120" t="s">
        <v>91</v>
      </c>
      <c r="AH56" s="8"/>
      <c r="AI56" s="8"/>
      <c r="AJ56" s="8"/>
      <c r="AK56" s="8"/>
      <c r="AL56" s="8"/>
      <c r="AM56" s="8"/>
      <c r="AN56" s="8"/>
      <c r="AO56" s="8"/>
      <c r="AP56" s="8"/>
      <c r="AQ56" s="8"/>
    </row>
    <row r="57" ht="19.5" customHeight="1">
      <c r="A57" s="107">
        <v>2252.0</v>
      </c>
      <c r="B57" s="108">
        <v>2.4150940417E10</v>
      </c>
      <c r="C57" s="109">
        <v>106015.0</v>
      </c>
      <c r="D57" s="69" t="s">
        <v>166</v>
      </c>
      <c r="E57" s="113">
        <v>29.0</v>
      </c>
      <c r="F57" s="111">
        <v>56.0</v>
      </c>
      <c r="G57" s="111" t="str">
        <f t="shared" si="29"/>
        <v>85</v>
      </c>
      <c r="H57" s="111">
        <v>44.0</v>
      </c>
      <c r="I57" s="112">
        <v>20.0</v>
      </c>
      <c r="J57" s="113">
        <v>25.0</v>
      </c>
      <c r="K57" s="111">
        <v>32.0</v>
      </c>
      <c r="L57" s="111" t="str">
        <f t="shared" si="25"/>
        <v>57</v>
      </c>
      <c r="M57" s="111">
        <v>40.0</v>
      </c>
      <c r="N57" s="111">
        <v>20.0</v>
      </c>
      <c r="O57" s="112">
        <v>20.0</v>
      </c>
      <c r="P57" s="113">
        <v>16.0</v>
      </c>
      <c r="Q57" s="111">
        <v>46.0</v>
      </c>
      <c r="R57" s="115" t="str">
        <f t="shared" si="30"/>
        <v>62</v>
      </c>
      <c r="S57" s="111">
        <v>21.0</v>
      </c>
      <c r="T57" s="111">
        <v>20.0</v>
      </c>
      <c r="U57" s="112">
        <v>23.0</v>
      </c>
      <c r="V57" s="113">
        <v>26.0</v>
      </c>
      <c r="W57" s="111">
        <v>31.0</v>
      </c>
      <c r="X57" s="111" t="str">
        <f t="shared" si="31"/>
        <v>57</v>
      </c>
      <c r="Y57" s="111">
        <v>42.0</v>
      </c>
      <c r="Z57" s="111">
        <v>21.0</v>
      </c>
      <c r="AA57" s="112">
        <v>21.0</v>
      </c>
      <c r="AB57" s="113">
        <v>20.0</v>
      </c>
      <c r="AC57" s="112">
        <v>20.0</v>
      </c>
      <c r="AD57" s="117">
        <v>40.0</v>
      </c>
      <c r="AE57" s="118">
        <v>637.0</v>
      </c>
      <c r="AF57" s="119">
        <v>75.0</v>
      </c>
      <c r="AG57" s="120" t="s">
        <v>91</v>
      </c>
      <c r="AH57" s="8"/>
      <c r="AI57" s="8"/>
      <c r="AJ57" s="8"/>
      <c r="AK57" s="8"/>
      <c r="AL57" s="8"/>
      <c r="AM57" s="8"/>
      <c r="AN57" s="8"/>
      <c r="AO57" s="8"/>
      <c r="AP57" s="8"/>
      <c r="AQ57" s="8"/>
    </row>
    <row r="58" ht="19.5" customHeight="1">
      <c r="A58" s="107">
        <v>2253.0</v>
      </c>
      <c r="B58" s="108">
        <v>2.4150940478E10</v>
      </c>
      <c r="C58" s="109">
        <v>106071.0</v>
      </c>
      <c r="D58" s="124" t="s">
        <v>167</v>
      </c>
      <c r="E58" s="113">
        <v>27.0</v>
      </c>
      <c r="F58" s="111">
        <v>51.0</v>
      </c>
      <c r="G58" s="111" t="str">
        <f t="shared" si="29"/>
        <v>78</v>
      </c>
      <c r="H58" s="111">
        <v>41.0</v>
      </c>
      <c r="I58" s="112">
        <v>17.0</v>
      </c>
      <c r="J58" s="113">
        <v>23.0</v>
      </c>
      <c r="K58" s="111">
        <v>41.0</v>
      </c>
      <c r="L58" s="111" t="str">
        <f t="shared" si="25"/>
        <v>64</v>
      </c>
      <c r="M58" s="111">
        <v>42.0</v>
      </c>
      <c r="N58" s="111">
        <v>23.0</v>
      </c>
      <c r="O58" s="112">
        <v>17.0</v>
      </c>
      <c r="P58" s="113">
        <v>19.0</v>
      </c>
      <c r="Q58" s="111">
        <v>21.0</v>
      </c>
      <c r="R58" s="115" t="str">
        <f t="shared" si="30"/>
        <v>40</v>
      </c>
      <c r="S58" s="111">
        <v>22.0</v>
      </c>
      <c r="T58" s="111">
        <v>14.0</v>
      </c>
      <c r="U58" s="112">
        <v>23.0</v>
      </c>
      <c r="V58" s="113">
        <v>25.0</v>
      </c>
      <c r="W58" s="111">
        <v>26.0</v>
      </c>
      <c r="X58" s="111" t="str">
        <f t="shared" si="31"/>
        <v>51</v>
      </c>
      <c r="Y58" s="111">
        <v>45.0</v>
      </c>
      <c r="Z58" s="111">
        <v>22.0</v>
      </c>
      <c r="AA58" s="112">
        <v>23.0</v>
      </c>
      <c r="AB58" s="113">
        <v>20.0</v>
      </c>
      <c r="AC58" s="112">
        <v>20.0</v>
      </c>
      <c r="AD58" s="117">
        <v>40.0</v>
      </c>
      <c r="AE58" s="118">
        <v>602.0</v>
      </c>
      <c r="AF58" s="119" t="str">
        <f>AE58/850*100</f>
        <v>70.82</v>
      </c>
      <c r="AG58" s="120" t="s">
        <v>93</v>
      </c>
      <c r="AH58" s="8"/>
      <c r="AI58" s="8"/>
      <c r="AJ58" s="8"/>
      <c r="AK58" s="8"/>
      <c r="AL58" s="8"/>
      <c r="AM58" s="8"/>
      <c r="AN58" s="8"/>
      <c r="AO58" s="8"/>
      <c r="AP58" s="8"/>
      <c r="AQ58" s="8"/>
    </row>
    <row r="59" ht="19.5" customHeight="1">
      <c r="A59" s="107">
        <v>2254.0</v>
      </c>
      <c r="B59" s="108">
        <v>2.4150940491E10</v>
      </c>
      <c r="C59" s="109">
        <v>106083.0</v>
      </c>
      <c r="D59" s="69" t="s">
        <v>168</v>
      </c>
      <c r="E59" s="110">
        <v>19.0</v>
      </c>
      <c r="F59" s="111">
        <v>33.0</v>
      </c>
      <c r="G59" s="111" t="str">
        <f t="shared" si="29"/>
        <v>52</v>
      </c>
      <c r="H59" s="111">
        <v>34.0</v>
      </c>
      <c r="I59" s="112">
        <v>12.0</v>
      </c>
      <c r="J59" s="113">
        <v>12.0</v>
      </c>
      <c r="K59" s="111" t="s">
        <v>105</v>
      </c>
      <c r="L59" s="111">
        <v>33.0</v>
      </c>
      <c r="M59" s="111">
        <v>34.0</v>
      </c>
      <c r="N59" s="111">
        <v>16.0</v>
      </c>
      <c r="O59" s="112">
        <v>18.0</v>
      </c>
      <c r="P59" s="113">
        <v>12.0</v>
      </c>
      <c r="Q59" s="111" t="s">
        <v>151</v>
      </c>
      <c r="R59" s="115">
        <v>30.0</v>
      </c>
      <c r="S59" s="111">
        <v>10.0</v>
      </c>
      <c r="T59" s="111">
        <v>10.0</v>
      </c>
      <c r="U59" s="112">
        <v>10.0</v>
      </c>
      <c r="V59" s="113">
        <v>17.0</v>
      </c>
      <c r="W59" s="111">
        <v>23.0</v>
      </c>
      <c r="X59" s="111" t="str">
        <f t="shared" si="31"/>
        <v>40</v>
      </c>
      <c r="Y59" s="111">
        <v>41.0</v>
      </c>
      <c r="Z59" s="111">
        <v>19.0</v>
      </c>
      <c r="AA59" s="112">
        <v>21.0</v>
      </c>
      <c r="AB59" s="113">
        <v>17.0</v>
      </c>
      <c r="AC59" s="112">
        <v>11.0</v>
      </c>
      <c r="AD59" s="117">
        <v>40.0</v>
      </c>
      <c r="AE59" s="118">
        <v>448.0</v>
      </c>
      <c r="AF59" s="119"/>
      <c r="AG59" s="120" t="s">
        <v>141</v>
      </c>
      <c r="AH59" s="8"/>
      <c r="AI59" s="8"/>
      <c r="AJ59" s="8"/>
      <c r="AK59" s="8"/>
      <c r="AL59" s="8"/>
      <c r="AM59" s="8"/>
      <c r="AN59" s="8"/>
      <c r="AO59" s="8"/>
      <c r="AP59" s="8"/>
      <c r="AQ59" s="8"/>
    </row>
    <row r="60" ht="19.5" customHeight="1">
      <c r="A60" s="107">
        <v>2255.0</v>
      </c>
      <c r="B60" s="108">
        <v>2.4150940558E10</v>
      </c>
      <c r="C60" s="109">
        <v>106146.0</v>
      </c>
      <c r="D60" s="69" t="s">
        <v>169</v>
      </c>
      <c r="E60" s="110">
        <v>16.0</v>
      </c>
      <c r="F60" s="111">
        <v>24.0</v>
      </c>
      <c r="G60" s="111" t="str">
        <f t="shared" si="29"/>
        <v>40</v>
      </c>
      <c r="H60" s="111">
        <v>30.0</v>
      </c>
      <c r="I60" s="112">
        <v>14.0</v>
      </c>
      <c r="J60" s="113">
        <v>12.0</v>
      </c>
      <c r="K60" s="111" t="s">
        <v>99</v>
      </c>
      <c r="L60" s="111">
        <v>24.0</v>
      </c>
      <c r="M60" s="111">
        <v>24.0</v>
      </c>
      <c r="N60" s="111">
        <v>14.0</v>
      </c>
      <c r="O60" s="112">
        <v>10.0</v>
      </c>
      <c r="P60" s="113">
        <v>16.0</v>
      </c>
      <c r="Q60" s="111" t="s">
        <v>170</v>
      </c>
      <c r="R60" s="115">
        <v>25.0</v>
      </c>
      <c r="S60" s="111">
        <v>10.0</v>
      </c>
      <c r="T60" s="111">
        <v>14.0</v>
      </c>
      <c r="U60" s="112">
        <v>10.0</v>
      </c>
      <c r="V60" s="113">
        <v>13.0</v>
      </c>
      <c r="W60" s="111" t="s">
        <v>114</v>
      </c>
      <c r="X60" s="111">
        <v>33.0</v>
      </c>
      <c r="Y60" s="111">
        <v>37.0</v>
      </c>
      <c r="Z60" s="111">
        <v>20.0</v>
      </c>
      <c r="AA60" s="112">
        <v>19.0</v>
      </c>
      <c r="AB60" s="113">
        <v>10.0</v>
      </c>
      <c r="AC60" s="112">
        <v>11.0</v>
      </c>
      <c r="AD60" s="117">
        <v>35.0</v>
      </c>
      <c r="AE60" s="118">
        <v>380.0</v>
      </c>
      <c r="AF60" s="119"/>
      <c r="AG60" s="120" t="s">
        <v>100</v>
      </c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 ht="19.5" customHeight="1">
      <c r="A61" s="107">
        <v>2256.0</v>
      </c>
      <c r="B61" s="108">
        <v>2.415094046E10</v>
      </c>
      <c r="C61" s="109">
        <v>106055.0</v>
      </c>
      <c r="D61" s="69" t="s">
        <v>171</v>
      </c>
      <c r="E61" s="113">
        <v>30.0</v>
      </c>
      <c r="F61" s="111">
        <v>56.0</v>
      </c>
      <c r="G61" s="111" t="str">
        <f t="shared" si="29"/>
        <v>86</v>
      </c>
      <c r="H61" s="111">
        <v>46.0</v>
      </c>
      <c r="I61" s="112">
        <v>20.0</v>
      </c>
      <c r="J61" s="113">
        <v>27.0</v>
      </c>
      <c r="K61" s="111">
        <v>60.0</v>
      </c>
      <c r="L61" s="111" t="str">
        <f>SUM(J61:K61)</f>
        <v>87</v>
      </c>
      <c r="M61" s="111">
        <v>44.0</v>
      </c>
      <c r="N61" s="111">
        <v>23.0</v>
      </c>
      <c r="O61" s="112">
        <v>23.0</v>
      </c>
      <c r="P61" s="113">
        <v>20.0</v>
      </c>
      <c r="Q61" s="111">
        <v>59.0</v>
      </c>
      <c r="R61" s="115" t="str">
        <f t="shared" ref="R61:R62" si="33">SUM(P61:Q61)</f>
        <v>79</v>
      </c>
      <c r="S61" s="111">
        <v>21.0</v>
      </c>
      <c r="T61" s="111">
        <v>18.0</v>
      </c>
      <c r="U61" s="112">
        <v>22.0</v>
      </c>
      <c r="V61" s="113">
        <v>30.0</v>
      </c>
      <c r="W61" s="111">
        <v>56.0</v>
      </c>
      <c r="X61" s="111" t="str">
        <f>SUM(V61:W61)</f>
        <v>86</v>
      </c>
      <c r="Y61" s="111">
        <v>44.0</v>
      </c>
      <c r="Z61" s="111">
        <v>22.0</v>
      </c>
      <c r="AA61" s="112">
        <v>22.0</v>
      </c>
      <c r="AB61" s="113">
        <v>19.0</v>
      </c>
      <c r="AC61" s="112">
        <v>15.0</v>
      </c>
      <c r="AD61" s="117">
        <v>35.0</v>
      </c>
      <c r="AE61" s="118">
        <v>712.0</v>
      </c>
      <c r="AF61" s="119" t="str">
        <f>AE61/850*100</f>
        <v>83.76</v>
      </c>
      <c r="AG61" s="120" t="s">
        <v>91</v>
      </c>
      <c r="AH61" s="8"/>
      <c r="AI61" s="8"/>
      <c r="AJ61" s="8"/>
      <c r="AK61" s="8"/>
      <c r="AL61" s="8"/>
      <c r="AM61" s="8"/>
      <c r="AN61" s="8"/>
      <c r="AO61" s="8"/>
      <c r="AP61" s="8"/>
      <c r="AQ61" s="8"/>
    </row>
    <row r="62" ht="19.5" customHeight="1">
      <c r="A62" s="107">
        <v>2257.0</v>
      </c>
      <c r="B62" s="108">
        <v>2.5150940507E10</v>
      </c>
      <c r="C62" s="109">
        <v>418202.0</v>
      </c>
      <c r="D62" s="69" t="s">
        <v>172</v>
      </c>
      <c r="E62" s="131">
        <v>12.0</v>
      </c>
      <c r="F62" s="132" t="s">
        <v>107</v>
      </c>
      <c r="G62" s="132">
        <v>22.0</v>
      </c>
      <c r="H62" s="132">
        <v>20.0</v>
      </c>
      <c r="I62" s="133">
        <v>10.0</v>
      </c>
      <c r="J62" s="131">
        <v>12.0</v>
      </c>
      <c r="K62" s="132" t="s">
        <v>173</v>
      </c>
      <c r="L62" s="132">
        <v>17.0</v>
      </c>
      <c r="M62" s="132">
        <v>20.0</v>
      </c>
      <c r="N62" s="132">
        <v>18.0</v>
      </c>
      <c r="O62" s="133">
        <v>17.0</v>
      </c>
      <c r="P62" s="131">
        <v>14.0</v>
      </c>
      <c r="Q62" s="132" t="s">
        <v>174</v>
      </c>
      <c r="R62" s="134" t="str">
        <f t="shared" si="33"/>
        <v>14</v>
      </c>
      <c r="S62" s="132">
        <v>10.0</v>
      </c>
      <c r="T62" s="132">
        <v>16.0</v>
      </c>
      <c r="U62" s="133">
        <v>10.0</v>
      </c>
      <c r="V62" s="131">
        <v>12.0</v>
      </c>
      <c r="W62" s="132" t="s">
        <v>111</v>
      </c>
      <c r="X62" s="132">
        <v>19.0</v>
      </c>
      <c r="Y62" s="132">
        <v>20.0</v>
      </c>
      <c r="Z62" s="132">
        <v>19.0</v>
      </c>
      <c r="AA62" s="133">
        <v>10.0</v>
      </c>
      <c r="AB62" s="131">
        <v>12.0</v>
      </c>
      <c r="AC62" s="133">
        <v>17.0</v>
      </c>
      <c r="AD62" s="135">
        <v>35.0</v>
      </c>
      <c r="AE62" s="136">
        <v>306.0</v>
      </c>
      <c r="AF62" s="137"/>
      <c r="AG62" s="138" t="s">
        <v>100</v>
      </c>
      <c r="AH62" s="139"/>
      <c r="AI62" s="139"/>
      <c r="AJ62" s="139"/>
      <c r="AK62" s="139"/>
      <c r="AL62" s="139"/>
      <c r="AM62" s="139"/>
      <c r="AN62" s="139"/>
      <c r="AO62" s="139"/>
      <c r="AP62" s="139"/>
      <c r="AQ62" s="139"/>
    </row>
    <row r="63" ht="19.5" customHeight="1">
      <c r="A63" s="140">
        <v>2258.0</v>
      </c>
      <c r="B63" s="140">
        <v>2.4150940401E10</v>
      </c>
      <c r="C63" s="141">
        <v>106000.0</v>
      </c>
      <c r="D63" s="142" t="s">
        <v>175</v>
      </c>
      <c r="E63" s="143"/>
      <c r="F63" s="144"/>
      <c r="G63" s="144"/>
      <c r="H63" s="144"/>
      <c r="I63" s="145"/>
      <c r="J63" s="143"/>
      <c r="K63" s="144"/>
      <c r="L63" s="144"/>
      <c r="M63" s="144"/>
      <c r="N63" s="144"/>
      <c r="O63" s="145"/>
      <c r="P63" s="143"/>
      <c r="Q63" s="144"/>
      <c r="R63" s="146"/>
      <c r="S63" s="144"/>
      <c r="T63" s="144"/>
      <c r="U63" s="145"/>
      <c r="V63" s="143"/>
      <c r="W63" s="144"/>
      <c r="X63" s="144"/>
      <c r="Y63" s="144"/>
      <c r="Z63" s="144"/>
      <c r="AA63" s="145"/>
      <c r="AB63" s="143"/>
      <c r="AC63" s="145"/>
      <c r="AD63" s="147"/>
      <c r="AE63" s="148"/>
      <c r="AF63" s="149"/>
      <c r="AG63" s="150" t="s">
        <v>176</v>
      </c>
      <c r="AH63" s="151"/>
      <c r="AI63" s="151"/>
      <c r="AJ63" s="151"/>
      <c r="AK63" s="151"/>
      <c r="AL63" s="151"/>
      <c r="AM63" s="151"/>
      <c r="AN63" s="151"/>
      <c r="AO63" s="151"/>
      <c r="AP63" s="151"/>
      <c r="AQ63" s="151"/>
    </row>
    <row r="64" ht="19.5" customHeight="1">
      <c r="A64" s="107">
        <v>2259.0</v>
      </c>
      <c r="B64" s="108">
        <v>2.4150940502E10</v>
      </c>
      <c r="C64" s="109">
        <v>106094.0</v>
      </c>
      <c r="D64" s="69" t="s">
        <v>177</v>
      </c>
      <c r="E64" s="113">
        <v>26.0</v>
      </c>
      <c r="F64" s="111">
        <v>49.0</v>
      </c>
      <c r="G64" s="111" t="str">
        <f>SUM(E64:F64)</f>
        <v>75</v>
      </c>
      <c r="H64" s="111">
        <v>30.0</v>
      </c>
      <c r="I64" s="112">
        <v>15.0</v>
      </c>
      <c r="J64" s="113">
        <v>15.0</v>
      </c>
      <c r="K64" s="111">
        <v>31.0</v>
      </c>
      <c r="L64" s="111" t="str">
        <f>SUM(J64:K64)</f>
        <v>46</v>
      </c>
      <c r="M64" s="111">
        <v>36.0</v>
      </c>
      <c r="N64" s="111">
        <v>23.0</v>
      </c>
      <c r="O64" s="112">
        <v>15.0</v>
      </c>
      <c r="P64" s="113">
        <v>14.0</v>
      </c>
      <c r="Q64" s="111">
        <v>36.0</v>
      </c>
      <c r="R64" s="115" t="str">
        <f>SUM(P64:Q64)</f>
        <v>50</v>
      </c>
      <c r="S64" s="111">
        <v>10.0</v>
      </c>
      <c r="T64" s="111">
        <v>15.0</v>
      </c>
      <c r="U64" s="112">
        <v>10.0</v>
      </c>
      <c r="V64" s="113">
        <v>26.0</v>
      </c>
      <c r="W64" s="111">
        <v>31.0</v>
      </c>
      <c r="X64" s="111" t="str">
        <f>SUM(V64:W64)</f>
        <v>57</v>
      </c>
      <c r="Y64" s="111">
        <v>43.0</v>
      </c>
      <c r="Z64" s="111">
        <v>22.0</v>
      </c>
      <c r="AA64" s="112">
        <v>22.0</v>
      </c>
      <c r="AB64" s="113">
        <v>19.0</v>
      </c>
      <c r="AC64" s="112">
        <v>15.0</v>
      </c>
      <c r="AD64" s="117">
        <v>39.0</v>
      </c>
      <c r="AE64" s="118">
        <v>542.0</v>
      </c>
      <c r="AF64" s="119" t="str">
        <f>AE64/850*100</f>
        <v>63.76</v>
      </c>
      <c r="AG64" s="120" t="s">
        <v>93</v>
      </c>
      <c r="AH64" s="8"/>
      <c r="AI64" s="8"/>
      <c r="AJ64" s="8"/>
      <c r="AK64" s="8"/>
      <c r="AL64" s="8"/>
      <c r="AM64" s="8"/>
      <c r="AN64" s="8"/>
      <c r="AO64" s="8"/>
      <c r="AP64" s="8"/>
      <c r="AQ64" s="8"/>
    </row>
    <row r="65" ht="19.5" customHeight="1">
      <c r="A65" s="152">
        <v>2260.0</v>
      </c>
      <c r="B65" s="107">
        <v>2.4150940538E10</v>
      </c>
      <c r="C65" s="109">
        <v>106128.0</v>
      </c>
      <c r="D65" s="69" t="s">
        <v>178</v>
      </c>
      <c r="E65" s="113">
        <v>5.0</v>
      </c>
      <c r="F65" s="111" t="s">
        <v>127</v>
      </c>
      <c r="G65" s="111">
        <v>9.0</v>
      </c>
      <c r="H65" s="111">
        <v>24.0</v>
      </c>
      <c r="I65" s="112">
        <v>12.0</v>
      </c>
      <c r="J65" s="113">
        <v>16.0</v>
      </c>
      <c r="K65" s="111" t="s">
        <v>98</v>
      </c>
      <c r="L65" s="111">
        <v>31.0</v>
      </c>
      <c r="M65" s="111">
        <v>24.0</v>
      </c>
      <c r="N65" s="111">
        <v>15.0</v>
      </c>
      <c r="O65" s="112">
        <v>16.0</v>
      </c>
      <c r="P65" s="113">
        <v>12.0</v>
      </c>
      <c r="Q65" s="111" t="s">
        <v>107</v>
      </c>
      <c r="R65" s="115">
        <v>22.0</v>
      </c>
      <c r="S65" s="111">
        <v>10.0</v>
      </c>
      <c r="T65" s="111">
        <v>10.0</v>
      </c>
      <c r="U65" s="112">
        <v>10.0</v>
      </c>
      <c r="V65" s="113">
        <v>16.0</v>
      </c>
      <c r="W65" s="111" t="s">
        <v>179</v>
      </c>
      <c r="X65" s="111">
        <v>25.0</v>
      </c>
      <c r="Y65" s="111">
        <v>20.0</v>
      </c>
      <c r="Z65" s="111">
        <v>20.0</v>
      </c>
      <c r="AA65" s="112">
        <v>10.0</v>
      </c>
      <c r="AB65" s="113">
        <v>12.0</v>
      </c>
      <c r="AC65" s="112">
        <v>17.0</v>
      </c>
      <c r="AD65" s="117">
        <v>35.0</v>
      </c>
      <c r="AE65" s="118">
        <v>322.0</v>
      </c>
      <c r="AF65" s="119"/>
      <c r="AG65" s="120" t="s">
        <v>100</v>
      </c>
    </row>
    <row r="66" ht="19.5" customHeight="1">
      <c r="A66" s="107">
        <v>2261.0</v>
      </c>
      <c r="B66" s="108">
        <v>2.4211830357E10</v>
      </c>
      <c r="C66" s="109">
        <v>106176.0</v>
      </c>
      <c r="D66" s="153" t="s">
        <v>180</v>
      </c>
      <c r="E66" s="113">
        <v>23.0</v>
      </c>
      <c r="F66" s="111">
        <v>45.0</v>
      </c>
      <c r="G66" s="111" t="str">
        <f>SUM(E66:F66)</f>
        <v>68</v>
      </c>
      <c r="H66" s="111">
        <v>40.0</v>
      </c>
      <c r="I66" s="112">
        <v>16.0</v>
      </c>
      <c r="J66" s="113">
        <v>26.0</v>
      </c>
      <c r="K66" s="111">
        <v>41.0</v>
      </c>
      <c r="L66" s="111" t="str">
        <f t="shared" ref="L66:L68" si="34">SUM(J66:K66)</f>
        <v>67</v>
      </c>
      <c r="M66" s="111">
        <v>44.0</v>
      </c>
      <c r="N66" s="111">
        <v>22.0</v>
      </c>
      <c r="O66" s="112">
        <v>23.0</v>
      </c>
      <c r="P66" s="113">
        <v>17.0</v>
      </c>
      <c r="Q66" s="111">
        <v>32.0</v>
      </c>
      <c r="R66" s="115" t="str">
        <f t="shared" ref="R66:R68" si="35">SUM(P66:Q66)</f>
        <v>49</v>
      </c>
      <c r="S66" s="111">
        <v>21.0</v>
      </c>
      <c r="T66" s="111">
        <v>18.0</v>
      </c>
      <c r="U66" s="112">
        <v>20.0</v>
      </c>
      <c r="V66" s="113">
        <v>26.0</v>
      </c>
      <c r="W66" s="111">
        <v>42.0</v>
      </c>
      <c r="X66" s="111" t="str">
        <f t="shared" ref="X66:X68" si="36">SUM(V66:W66)</f>
        <v>68</v>
      </c>
      <c r="Y66" s="111">
        <v>45.0</v>
      </c>
      <c r="Z66" s="111">
        <v>22.0</v>
      </c>
      <c r="AA66" s="112">
        <v>22.0</v>
      </c>
      <c r="AB66" s="113">
        <v>19.0</v>
      </c>
      <c r="AC66" s="112">
        <v>23.0</v>
      </c>
      <c r="AD66" s="117">
        <v>42.0</v>
      </c>
      <c r="AE66" s="118">
        <v>629.0</v>
      </c>
      <c r="AF66" s="119" t="str">
        <f>AE66/850*100</f>
        <v>74.00</v>
      </c>
      <c r="AG66" s="120" t="s">
        <v>93</v>
      </c>
    </row>
    <row r="67" ht="19.5" customHeight="1">
      <c r="A67" s="152">
        <v>2262.0</v>
      </c>
      <c r="B67" s="108">
        <v>2.415094048E10</v>
      </c>
      <c r="C67" s="109">
        <v>106073.0</v>
      </c>
      <c r="D67" s="69" t="s">
        <v>181</v>
      </c>
      <c r="E67" s="113">
        <v>12.0</v>
      </c>
      <c r="F67" s="111" t="s">
        <v>182</v>
      </c>
      <c r="G67" s="111">
        <v>26.0</v>
      </c>
      <c r="H67" s="111">
        <v>20.0</v>
      </c>
      <c r="I67" s="133" t="s">
        <v>97</v>
      </c>
      <c r="J67" s="113">
        <v>12.0</v>
      </c>
      <c r="K67" s="111">
        <v>28.0</v>
      </c>
      <c r="L67" s="111" t="str">
        <f t="shared" si="34"/>
        <v>40</v>
      </c>
      <c r="M67" s="111">
        <v>26.0</v>
      </c>
      <c r="N67" s="111">
        <v>17.0</v>
      </c>
      <c r="O67" s="112">
        <v>14.0</v>
      </c>
      <c r="P67" s="113">
        <v>7.0</v>
      </c>
      <c r="Q67" s="111" t="s">
        <v>174</v>
      </c>
      <c r="R67" s="115" t="str">
        <f t="shared" si="35"/>
        <v>7</v>
      </c>
      <c r="S67" s="111">
        <v>10.0</v>
      </c>
      <c r="T67" s="111">
        <v>16.0</v>
      </c>
      <c r="U67" s="112">
        <v>10.0</v>
      </c>
      <c r="V67" s="113">
        <v>12.0</v>
      </c>
      <c r="W67" s="111">
        <v>32.0</v>
      </c>
      <c r="X67" s="111" t="str">
        <f t="shared" si="36"/>
        <v>44</v>
      </c>
      <c r="Y67" s="111">
        <v>38.0</v>
      </c>
      <c r="Z67" s="111">
        <v>20.0</v>
      </c>
      <c r="AA67" s="112">
        <v>19.0</v>
      </c>
      <c r="AB67" s="113">
        <v>13.0</v>
      </c>
      <c r="AC67" s="112">
        <v>11.0</v>
      </c>
      <c r="AD67" s="117">
        <v>40.0</v>
      </c>
      <c r="AE67" s="118">
        <v>371.0</v>
      </c>
      <c r="AF67" s="119"/>
      <c r="AG67" s="120" t="s">
        <v>141</v>
      </c>
    </row>
    <row r="68" ht="19.5" customHeight="1">
      <c r="A68" s="107">
        <v>2263.0</v>
      </c>
      <c r="B68" s="107">
        <v>2.4150940394E10</v>
      </c>
      <c r="C68" s="109">
        <v>105993.0</v>
      </c>
      <c r="D68" s="69" t="s">
        <v>183</v>
      </c>
      <c r="E68" s="113">
        <v>26.0</v>
      </c>
      <c r="F68" s="111">
        <v>57.0</v>
      </c>
      <c r="G68" s="111" t="str">
        <f>SUM(E68:F68)</f>
        <v>83</v>
      </c>
      <c r="H68" s="111">
        <v>36.0</v>
      </c>
      <c r="I68" s="112">
        <v>21.0</v>
      </c>
      <c r="J68" s="113">
        <v>26.0</v>
      </c>
      <c r="K68" s="111">
        <v>47.0</v>
      </c>
      <c r="L68" s="111" t="str">
        <f t="shared" si="34"/>
        <v>73</v>
      </c>
      <c r="M68" s="111">
        <v>40.0</v>
      </c>
      <c r="N68" s="111">
        <v>22.0</v>
      </c>
      <c r="O68" s="112">
        <v>20.0</v>
      </c>
      <c r="P68" s="113">
        <v>24.0</v>
      </c>
      <c r="Q68" s="111">
        <v>44.0</v>
      </c>
      <c r="R68" s="115" t="str">
        <f t="shared" si="35"/>
        <v>68</v>
      </c>
      <c r="S68" s="111">
        <v>18.0</v>
      </c>
      <c r="T68" s="111">
        <v>20.0</v>
      </c>
      <c r="U68" s="112">
        <v>20.0</v>
      </c>
      <c r="V68" s="113">
        <v>30.0</v>
      </c>
      <c r="W68" s="111">
        <v>40.0</v>
      </c>
      <c r="X68" s="111" t="str">
        <f t="shared" si="36"/>
        <v>70</v>
      </c>
      <c r="Y68" s="111">
        <v>45.0</v>
      </c>
      <c r="Z68" s="111">
        <v>23.0</v>
      </c>
      <c r="AA68" s="112">
        <v>23.0</v>
      </c>
      <c r="AB68" s="113">
        <v>21.0</v>
      </c>
      <c r="AC68" s="112">
        <v>21.0</v>
      </c>
      <c r="AD68" s="117">
        <v>40.0</v>
      </c>
      <c r="AE68" s="118">
        <v>664.0</v>
      </c>
      <c r="AF68" s="119" t="str">
        <f>AE68/850*100</f>
        <v>78.12</v>
      </c>
      <c r="AG68" s="120" t="s">
        <v>91</v>
      </c>
    </row>
    <row r="69" ht="19.5" customHeight="1">
      <c r="A69" s="152">
        <v>2264.0</v>
      </c>
      <c r="B69" s="152">
        <v>2.5150940514E10</v>
      </c>
      <c r="C69" s="109">
        <v>418209.0</v>
      </c>
      <c r="D69" s="124" t="s">
        <v>184</v>
      </c>
      <c r="E69" s="113">
        <v>5.0</v>
      </c>
      <c r="F69" s="111" t="s">
        <v>127</v>
      </c>
      <c r="G69" s="111">
        <v>9.0</v>
      </c>
      <c r="H69" s="111">
        <v>20.0</v>
      </c>
      <c r="I69" s="112">
        <v>10.0</v>
      </c>
      <c r="J69" s="113">
        <v>12.0</v>
      </c>
      <c r="K69" s="111" t="s">
        <v>173</v>
      </c>
      <c r="L69" s="111">
        <v>17.0</v>
      </c>
      <c r="M69" s="111">
        <v>20.0</v>
      </c>
      <c r="N69" s="111">
        <v>14.0</v>
      </c>
      <c r="O69" s="112">
        <v>10.0</v>
      </c>
      <c r="P69" s="113">
        <v>12.0</v>
      </c>
      <c r="Q69" s="111" t="s">
        <v>185</v>
      </c>
      <c r="R69" s="115">
        <v>23.0</v>
      </c>
      <c r="S69" s="111">
        <v>10.0</v>
      </c>
      <c r="T69" s="111">
        <v>15.0</v>
      </c>
      <c r="U69" s="112">
        <v>10.0</v>
      </c>
      <c r="V69" s="113">
        <v>19.0</v>
      </c>
      <c r="W69" s="111" t="s">
        <v>127</v>
      </c>
      <c r="X69" s="111">
        <v>23.0</v>
      </c>
      <c r="Y69" s="111">
        <v>20.0</v>
      </c>
      <c r="Z69" s="111">
        <v>18.0</v>
      </c>
      <c r="AA69" s="112">
        <v>10.0</v>
      </c>
      <c r="AB69" s="113">
        <v>12.0</v>
      </c>
      <c r="AC69" s="112">
        <v>11.0</v>
      </c>
      <c r="AD69" s="117">
        <v>34.0</v>
      </c>
      <c r="AE69" s="118">
        <v>286.0</v>
      </c>
      <c r="AF69" s="119"/>
      <c r="AG69" s="120" t="s">
        <v>100</v>
      </c>
    </row>
    <row r="70" ht="19.5" customHeight="1">
      <c r="A70" s="107">
        <v>2265.0</v>
      </c>
      <c r="B70" s="107">
        <v>2.5150940518E10</v>
      </c>
      <c r="C70" s="109">
        <v>418213.0</v>
      </c>
      <c r="D70" s="69" t="s">
        <v>186</v>
      </c>
      <c r="E70" s="113">
        <v>26.0</v>
      </c>
      <c r="F70" s="111">
        <v>40.0</v>
      </c>
      <c r="G70" s="111" t="str">
        <f t="shared" ref="G70:G73" si="37">SUM(E70:F70)</f>
        <v>66</v>
      </c>
      <c r="H70" s="111">
        <v>40.0</v>
      </c>
      <c r="I70" s="112">
        <v>15.0</v>
      </c>
      <c r="J70" s="110">
        <v>23.0</v>
      </c>
      <c r="K70" s="111">
        <v>27.0</v>
      </c>
      <c r="L70" s="111" t="str">
        <f t="shared" ref="L70:L71" si="38">SUM(J70:K70)</f>
        <v>50</v>
      </c>
      <c r="M70" s="111">
        <v>36.0</v>
      </c>
      <c r="N70" s="111">
        <v>19.0</v>
      </c>
      <c r="O70" s="112">
        <v>20.0</v>
      </c>
      <c r="P70" s="113">
        <v>19.0</v>
      </c>
      <c r="Q70" s="111">
        <v>37.0</v>
      </c>
      <c r="R70" s="115" t="str">
        <f t="shared" ref="R70:R71" si="39">SUM(P70:Q70)</f>
        <v>56</v>
      </c>
      <c r="S70" s="111">
        <v>22.0</v>
      </c>
      <c r="T70" s="111">
        <v>18.0</v>
      </c>
      <c r="U70" s="112">
        <v>20.0</v>
      </c>
      <c r="V70" s="113">
        <v>19.0</v>
      </c>
      <c r="W70" s="111">
        <v>21.0</v>
      </c>
      <c r="X70" s="111" t="str">
        <f t="shared" ref="X70:X73" si="40">SUM(V70:W70)</f>
        <v>40</v>
      </c>
      <c r="Y70" s="111">
        <v>44.0</v>
      </c>
      <c r="Z70" s="111">
        <v>22.0</v>
      </c>
      <c r="AA70" s="112">
        <v>22.0</v>
      </c>
      <c r="AB70" s="113">
        <v>19.0</v>
      </c>
      <c r="AC70" s="112">
        <v>20.0</v>
      </c>
      <c r="AD70" s="117">
        <v>39.0</v>
      </c>
      <c r="AE70" s="118">
        <v>568.0</v>
      </c>
      <c r="AF70" s="119" t="str">
        <f t="shared" ref="AF70:AF71" si="41">AE70/850*100</f>
        <v>66.82</v>
      </c>
      <c r="AG70" s="120" t="s">
        <v>93</v>
      </c>
    </row>
    <row r="71" ht="19.5" customHeight="1">
      <c r="A71" s="152">
        <v>2266.0</v>
      </c>
      <c r="B71" s="108">
        <v>2.5150940523E10</v>
      </c>
      <c r="C71" s="109">
        <v>418218.0</v>
      </c>
      <c r="D71" s="69" t="s">
        <v>187</v>
      </c>
      <c r="E71" s="113">
        <v>21.0</v>
      </c>
      <c r="F71" s="111">
        <v>40.0</v>
      </c>
      <c r="G71" s="111" t="str">
        <f t="shared" si="37"/>
        <v>61</v>
      </c>
      <c r="H71" s="111">
        <v>30.0</v>
      </c>
      <c r="I71" s="112">
        <v>14.0</v>
      </c>
      <c r="J71" s="113">
        <v>26.0</v>
      </c>
      <c r="K71" s="111">
        <v>14.0</v>
      </c>
      <c r="L71" s="111" t="str">
        <f t="shared" si="38"/>
        <v>40</v>
      </c>
      <c r="M71" s="111">
        <v>36.0</v>
      </c>
      <c r="N71" s="111">
        <v>16.0</v>
      </c>
      <c r="O71" s="112">
        <v>19.0</v>
      </c>
      <c r="P71" s="113">
        <v>20.0</v>
      </c>
      <c r="Q71" s="111">
        <v>20.0</v>
      </c>
      <c r="R71" s="115" t="str">
        <f t="shared" si="39"/>
        <v>40</v>
      </c>
      <c r="S71" s="111">
        <v>20.0</v>
      </c>
      <c r="T71" s="111">
        <v>16.0</v>
      </c>
      <c r="U71" s="112">
        <v>20.0</v>
      </c>
      <c r="V71" s="113">
        <v>23.0</v>
      </c>
      <c r="W71" s="111">
        <v>20.0</v>
      </c>
      <c r="X71" s="111" t="str">
        <f t="shared" si="40"/>
        <v>43</v>
      </c>
      <c r="Y71" s="111">
        <v>40.0</v>
      </c>
      <c r="Z71" s="111">
        <v>21.0</v>
      </c>
      <c r="AA71" s="112">
        <v>21.0</v>
      </c>
      <c r="AB71" s="113">
        <v>18.0</v>
      </c>
      <c r="AC71" s="112">
        <v>20.0</v>
      </c>
      <c r="AD71" s="117">
        <v>38.0</v>
      </c>
      <c r="AE71" s="118">
        <v>513.0</v>
      </c>
      <c r="AF71" s="119" t="str">
        <f t="shared" si="41"/>
        <v>60.35</v>
      </c>
      <c r="AG71" s="120" t="s">
        <v>93</v>
      </c>
    </row>
    <row r="72" ht="19.5" customHeight="1">
      <c r="A72" s="107">
        <v>2267.0</v>
      </c>
      <c r="B72" s="108">
        <v>2.5150940512E10</v>
      </c>
      <c r="C72" s="109">
        <v>418207.0</v>
      </c>
      <c r="D72" s="69" t="s">
        <v>188</v>
      </c>
      <c r="E72" s="113">
        <v>15.0</v>
      </c>
      <c r="F72" s="111">
        <v>36.0</v>
      </c>
      <c r="G72" s="111" t="str">
        <f t="shared" si="37"/>
        <v>51</v>
      </c>
      <c r="H72" s="111">
        <v>23.0</v>
      </c>
      <c r="I72" s="112">
        <v>14.0</v>
      </c>
      <c r="J72" s="113">
        <v>17.0</v>
      </c>
      <c r="K72" s="111" t="s">
        <v>98</v>
      </c>
      <c r="L72" s="111">
        <v>32.0</v>
      </c>
      <c r="M72" s="111">
        <v>32.0</v>
      </c>
      <c r="N72" s="111">
        <v>19.0</v>
      </c>
      <c r="O72" s="112">
        <v>19.0</v>
      </c>
      <c r="P72" s="113">
        <v>13.0</v>
      </c>
      <c r="Q72" s="111" t="s">
        <v>182</v>
      </c>
      <c r="R72" s="115">
        <v>27.0</v>
      </c>
      <c r="S72" s="111">
        <v>19.0</v>
      </c>
      <c r="T72" s="111">
        <v>16.0</v>
      </c>
      <c r="U72" s="112">
        <v>20.0</v>
      </c>
      <c r="V72" s="113">
        <v>19.0</v>
      </c>
      <c r="W72" s="111">
        <v>21.0</v>
      </c>
      <c r="X72" s="111" t="str">
        <f t="shared" si="40"/>
        <v>40</v>
      </c>
      <c r="Y72" s="111">
        <v>40.0</v>
      </c>
      <c r="Z72" s="111">
        <v>20.0</v>
      </c>
      <c r="AA72" s="112">
        <v>20.0</v>
      </c>
      <c r="AB72" s="113">
        <v>18.0</v>
      </c>
      <c r="AC72" s="112">
        <v>19.0</v>
      </c>
      <c r="AD72" s="117">
        <v>38.0</v>
      </c>
      <c r="AE72" s="118">
        <v>467.0</v>
      </c>
      <c r="AF72" s="119"/>
      <c r="AG72" s="120" t="s">
        <v>141</v>
      </c>
    </row>
    <row r="73" ht="19.5" customHeight="1">
      <c r="A73" s="152">
        <v>2268.0</v>
      </c>
      <c r="B73" s="108">
        <v>2.5150940504E10</v>
      </c>
      <c r="C73" s="109">
        <v>418199.0</v>
      </c>
      <c r="D73" s="69" t="s">
        <v>189</v>
      </c>
      <c r="E73" s="113">
        <v>28.0</v>
      </c>
      <c r="F73" s="111">
        <v>49.0</v>
      </c>
      <c r="G73" s="111" t="str">
        <f t="shared" si="37"/>
        <v>77</v>
      </c>
      <c r="H73" s="111">
        <v>30.0</v>
      </c>
      <c r="I73" s="112">
        <v>15.0</v>
      </c>
      <c r="J73" s="113">
        <v>28.0</v>
      </c>
      <c r="K73" s="111">
        <v>46.0</v>
      </c>
      <c r="L73" s="111" t="str">
        <f>SUM(J73:K73)</f>
        <v>74</v>
      </c>
      <c r="M73" s="111">
        <v>42.0</v>
      </c>
      <c r="N73" s="111">
        <v>23.0</v>
      </c>
      <c r="O73" s="112">
        <v>23.0</v>
      </c>
      <c r="P73" s="113">
        <v>27.0</v>
      </c>
      <c r="Q73" s="111">
        <v>36.0</v>
      </c>
      <c r="R73" s="115" t="str">
        <f>SUM(P73:Q73)</f>
        <v>63</v>
      </c>
      <c r="S73" s="111">
        <v>20.0</v>
      </c>
      <c r="T73" s="111">
        <v>16.0</v>
      </c>
      <c r="U73" s="112">
        <v>20.0</v>
      </c>
      <c r="V73" s="113">
        <v>25.0</v>
      </c>
      <c r="W73" s="111">
        <v>26.0</v>
      </c>
      <c r="X73" s="111" t="str">
        <f t="shared" si="40"/>
        <v>51</v>
      </c>
      <c r="Y73" s="111">
        <v>40.0</v>
      </c>
      <c r="Z73" s="111">
        <v>21.0</v>
      </c>
      <c r="AA73" s="112">
        <v>20.0</v>
      </c>
      <c r="AB73" s="113">
        <v>20.0</v>
      </c>
      <c r="AC73" s="112">
        <v>22.0</v>
      </c>
      <c r="AD73" s="117">
        <v>40.0</v>
      </c>
      <c r="AE73" s="118">
        <v>617.0</v>
      </c>
      <c r="AF73" s="119" t="str">
        <f>AE73/850*100</f>
        <v>72.59</v>
      </c>
      <c r="AG73" s="120" t="s">
        <v>93</v>
      </c>
    </row>
    <row r="74" ht="19.5" customHeight="1">
      <c r="A74" s="107">
        <v>2269.0</v>
      </c>
      <c r="B74" s="108">
        <v>2.5150940513E10</v>
      </c>
      <c r="C74" s="109">
        <v>418208.0</v>
      </c>
      <c r="D74" s="69" t="s">
        <v>190</v>
      </c>
      <c r="E74" s="113">
        <v>12.0</v>
      </c>
      <c r="F74" s="111" t="s">
        <v>98</v>
      </c>
      <c r="G74" s="111">
        <v>27.0</v>
      </c>
      <c r="H74" s="111">
        <v>20.0</v>
      </c>
      <c r="I74" s="112">
        <v>12.0</v>
      </c>
      <c r="J74" s="113">
        <v>12.0</v>
      </c>
      <c r="K74" s="111" t="s">
        <v>107</v>
      </c>
      <c r="L74" s="111">
        <v>22.0</v>
      </c>
      <c r="M74" s="111">
        <v>31.0</v>
      </c>
      <c r="N74" s="111">
        <v>17.0</v>
      </c>
      <c r="O74" s="112">
        <v>16.0</v>
      </c>
      <c r="P74" s="113">
        <v>12.0</v>
      </c>
      <c r="Q74" s="111" t="s">
        <v>161</v>
      </c>
      <c r="R74" s="115">
        <v>25.0</v>
      </c>
      <c r="S74" s="111">
        <v>10.0</v>
      </c>
      <c r="T74" s="111">
        <v>10.0</v>
      </c>
      <c r="U74" s="112">
        <v>10.0</v>
      </c>
      <c r="V74" s="113">
        <v>14.0</v>
      </c>
      <c r="W74" s="111" t="s">
        <v>127</v>
      </c>
      <c r="X74" s="111">
        <v>18.0</v>
      </c>
      <c r="Y74" s="111">
        <v>20.0</v>
      </c>
      <c r="Z74" s="111">
        <v>20.0</v>
      </c>
      <c r="AA74" s="112">
        <v>10.0</v>
      </c>
      <c r="AB74" s="113">
        <v>11.0</v>
      </c>
      <c r="AC74" s="112">
        <v>11.0</v>
      </c>
      <c r="AD74" s="117">
        <v>35.0</v>
      </c>
      <c r="AE74" s="118">
        <v>323.0</v>
      </c>
      <c r="AF74" s="119"/>
      <c r="AG74" s="120" t="s">
        <v>100</v>
      </c>
    </row>
    <row r="75" ht="19.5" customHeight="1">
      <c r="A75" s="152">
        <v>2270.0</v>
      </c>
      <c r="B75" s="152">
        <v>2.5150940522E10</v>
      </c>
      <c r="C75" s="109">
        <v>418217.0</v>
      </c>
      <c r="D75" s="69" t="s">
        <v>191</v>
      </c>
      <c r="E75" s="113">
        <v>12.0</v>
      </c>
      <c r="F75" s="111">
        <v>32.0</v>
      </c>
      <c r="G75" s="111" t="str">
        <f>SUM(E75:F75)</f>
        <v>44</v>
      </c>
      <c r="H75" s="111">
        <v>20.0</v>
      </c>
      <c r="I75" s="112">
        <v>10.0</v>
      </c>
      <c r="J75" s="113">
        <v>14.0</v>
      </c>
      <c r="K75" s="111" t="s">
        <v>152</v>
      </c>
      <c r="L75" s="111">
        <v>31.0</v>
      </c>
      <c r="M75" s="111">
        <v>26.0</v>
      </c>
      <c r="N75" s="111">
        <v>13.0</v>
      </c>
      <c r="O75" s="112">
        <v>10.0</v>
      </c>
      <c r="P75" s="113">
        <v>14.0</v>
      </c>
      <c r="Q75" s="111" t="s">
        <v>152</v>
      </c>
      <c r="R75" s="115">
        <v>31.0</v>
      </c>
      <c r="S75" s="111">
        <v>10.0</v>
      </c>
      <c r="T75" s="111">
        <v>10.0</v>
      </c>
      <c r="U75" s="112">
        <v>10.0</v>
      </c>
      <c r="V75" s="113">
        <v>14.0</v>
      </c>
      <c r="W75" s="111" t="s">
        <v>105</v>
      </c>
      <c r="X75" s="111">
        <v>35.0</v>
      </c>
      <c r="Y75" s="111">
        <v>20.0</v>
      </c>
      <c r="Z75" s="111">
        <v>20.0</v>
      </c>
      <c r="AA75" s="112">
        <v>10.0</v>
      </c>
      <c r="AB75" s="113">
        <v>10.0</v>
      </c>
      <c r="AC75" s="112">
        <v>11.0</v>
      </c>
      <c r="AD75" s="117">
        <v>35.0</v>
      </c>
      <c r="AE75" s="118">
        <v>356.0</v>
      </c>
      <c r="AF75" s="119"/>
      <c r="AG75" s="120" t="s">
        <v>100</v>
      </c>
    </row>
    <row r="76" ht="19.5" customHeight="1">
      <c r="A76" s="107">
        <v>2271.0</v>
      </c>
      <c r="B76" s="152">
        <v>2.5150940515E10</v>
      </c>
      <c r="C76" s="109">
        <v>418210.0</v>
      </c>
      <c r="D76" s="124" t="s">
        <v>192</v>
      </c>
      <c r="E76" s="113">
        <v>6.0</v>
      </c>
      <c r="F76" s="111" t="s">
        <v>182</v>
      </c>
      <c r="G76" s="111">
        <v>20.0</v>
      </c>
      <c r="H76" s="111">
        <v>20.0</v>
      </c>
      <c r="I76" s="112">
        <v>10.0</v>
      </c>
      <c r="J76" s="113">
        <v>12.0</v>
      </c>
      <c r="K76" s="111" t="s">
        <v>179</v>
      </c>
      <c r="L76" s="111">
        <v>21.0</v>
      </c>
      <c r="M76" s="111">
        <v>24.0</v>
      </c>
      <c r="N76" s="111">
        <v>13.0</v>
      </c>
      <c r="O76" s="112">
        <v>17.0</v>
      </c>
      <c r="P76" s="113">
        <v>12.0</v>
      </c>
      <c r="Q76" s="111" t="s">
        <v>99</v>
      </c>
      <c r="R76" s="115">
        <v>24.0</v>
      </c>
      <c r="S76" s="126">
        <v>10.0</v>
      </c>
      <c r="T76" s="126">
        <v>16.0</v>
      </c>
      <c r="U76" s="112">
        <v>10.0</v>
      </c>
      <c r="V76" s="113">
        <v>12.0</v>
      </c>
      <c r="W76" s="111" t="s">
        <v>193</v>
      </c>
      <c r="X76" s="111">
        <v>20.0</v>
      </c>
      <c r="Y76" s="111">
        <v>20.0</v>
      </c>
      <c r="Z76" s="111">
        <v>15.0</v>
      </c>
      <c r="AA76" s="112">
        <v>10.0</v>
      </c>
      <c r="AB76" s="113">
        <v>11.0</v>
      </c>
      <c r="AC76" s="112">
        <v>11.0</v>
      </c>
      <c r="AD76" s="117">
        <v>40.0</v>
      </c>
      <c r="AE76" s="118">
        <v>312.0</v>
      </c>
      <c r="AF76" s="119"/>
      <c r="AG76" s="120" t="s">
        <v>100</v>
      </c>
    </row>
    <row r="77" ht="19.5" customHeight="1">
      <c r="A77" s="152">
        <v>2272.0</v>
      </c>
      <c r="B77" s="152">
        <v>2.4150940565E10</v>
      </c>
      <c r="C77" s="109">
        <v>106153.0</v>
      </c>
      <c r="D77" s="124" t="s">
        <v>194</v>
      </c>
      <c r="E77" s="154">
        <v>7.0</v>
      </c>
      <c r="F77" s="155">
        <v>35.0</v>
      </c>
      <c r="G77" s="155" t="str">
        <f>SUM(E77:F77)</f>
        <v>42</v>
      </c>
      <c r="H77" s="155">
        <v>30.0</v>
      </c>
      <c r="I77" s="156">
        <v>10.0</v>
      </c>
      <c r="J77" s="154">
        <v>12.0</v>
      </c>
      <c r="K77" s="155" t="s">
        <v>193</v>
      </c>
      <c r="L77" s="155">
        <v>20.0</v>
      </c>
      <c r="M77" s="155">
        <v>24.0</v>
      </c>
      <c r="N77" s="155">
        <v>17.0</v>
      </c>
      <c r="O77" s="156">
        <v>10.0</v>
      </c>
      <c r="P77" s="154">
        <v>5.0</v>
      </c>
      <c r="Q77" s="155" t="s">
        <v>107</v>
      </c>
      <c r="R77" s="157">
        <v>15.0</v>
      </c>
      <c r="S77" s="155">
        <v>10.0</v>
      </c>
      <c r="T77" s="155">
        <v>10.0</v>
      </c>
      <c r="U77" s="156">
        <v>10.0</v>
      </c>
      <c r="V77" s="154">
        <v>19.0</v>
      </c>
      <c r="W77" s="155" t="s">
        <v>161</v>
      </c>
      <c r="X77" s="155">
        <v>32.0</v>
      </c>
      <c r="Y77" s="155">
        <v>40.0</v>
      </c>
      <c r="Z77" s="155">
        <v>21.0</v>
      </c>
      <c r="AA77" s="156">
        <v>20.0</v>
      </c>
      <c r="AB77" s="154">
        <v>16.0</v>
      </c>
      <c r="AC77" s="156">
        <v>11.0</v>
      </c>
      <c r="AD77" s="158">
        <v>34.0</v>
      </c>
      <c r="AE77" s="118">
        <v>372.0</v>
      </c>
      <c r="AF77" s="119"/>
      <c r="AG77" s="120" t="s">
        <v>100</v>
      </c>
    </row>
    <row r="78" ht="19.5" customHeight="1">
      <c r="D78" s="159"/>
      <c r="E78" s="160"/>
      <c r="F78" s="160"/>
      <c r="G78" s="160"/>
      <c r="H78" s="160"/>
      <c r="I78" s="160"/>
      <c r="J78" s="161"/>
      <c r="K78" s="161"/>
      <c r="L78" s="161"/>
      <c r="M78" s="161"/>
      <c r="N78" s="161"/>
      <c r="O78" s="161"/>
      <c r="P78" s="162"/>
      <c r="Q78" s="162"/>
      <c r="R78" s="162"/>
      <c r="S78" s="162"/>
      <c r="T78" s="162"/>
      <c r="U78" s="162"/>
      <c r="V78" s="161"/>
      <c r="W78" s="161"/>
      <c r="X78" s="161"/>
      <c r="Y78" s="161"/>
      <c r="Z78" s="161"/>
      <c r="AA78" s="161"/>
      <c r="AB78" s="163"/>
      <c r="AC78" s="163"/>
      <c r="AD78" s="163"/>
      <c r="AE78" s="160"/>
      <c r="AF78" s="160"/>
      <c r="AG78" s="160"/>
    </row>
    <row r="79" ht="19.5" customHeight="1">
      <c r="D79" s="164" t="s">
        <v>195</v>
      </c>
      <c r="E79" s="165"/>
      <c r="F79" s="165"/>
      <c r="G79" s="165" t="str">
        <f>COUNTIF(G6:G77,"&gt;=75")</f>
        <v>28</v>
      </c>
      <c r="H79" s="165"/>
      <c r="I79" s="165"/>
      <c r="J79" s="165"/>
      <c r="K79" s="165"/>
      <c r="L79" s="165" t="str">
        <f>COUNTIF(L6:L77,"&gt;=75")</f>
        <v>10</v>
      </c>
      <c r="M79" s="165"/>
      <c r="N79" s="165"/>
      <c r="O79" s="165"/>
      <c r="P79" s="165"/>
      <c r="Q79" s="165"/>
      <c r="R79" s="165" t="str">
        <f>COUNTIF(R6:R77,"&gt;=75")</f>
        <v>11</v>
      </c>
      <c r="S79" s="165"/>
      <c r="T79" s="165"/>
      <c r="U79" s="165"/>
      <c r="V79" s="165"/>
      <c r="W79" s="165"/>
      <c r="X79" s="165" t="str">
        <f>COUNTIF(X6:X77,"&gt;=75")</f>
        <v>14</v>
      </c>
      <c r="Y79" s="165"/>
      <c r="Z79" s="165"/>
      <c r="AA79" s="165"/>
      <c r="AB79" s="165"/>
      <c r="AC79" s="165"/>
      <c r="AD79" s="165"/>
      <c r="AE79" s="165"/>
      <c r="AF79" s="165" t="str">
        <f>COUNTIF(AF6:AF77,"&gt;=75")</f>
        <v>20</v>
      </c>
      <c r="AG79" s="160"/>
    </row>
    <row r="80" ht="19.5" customHeight="1">
      <c r="D80" s="166" t="s">
        <v>196</v>
      </c>
      <c r="E80" s="67"/>
      <c r="F80" s="67"/>
      <c r="G80" s="67" t="str">
        <f>COUNTIFS(G6:G77,"&gt;=60 ",G6:G77,"&lt; 75" )</f>
        <v>23</v>
      </c>
      <c r="H80" s="67"/>
      <c r="I80" s="67"/>
      <c r="J80" s="67"/>
      <c r="K80" s="67"/>
      <c r="L80" s="67" t="str">
        <f>COUNTIFS(L6:L77,"&gt;=60 ",L6:L77,"&lt; 75" )</f>
        <v>17</v>
      </c>
      <c r="M80" s="67"/>
      <c r="N80" s="67"/>
      <c r="O80" s="67"/>
      <c r="P80" s="67"/>
      <c r="Q80" s="67"/>
      <c r="R80" s="67" t="str">
        <f>COUNTIFS(R6:R77,"&gt;=60 ",R6:R77,"&lt; 75" )</f>
        <v>13</v>
      </c>
      <c r="S80" s="67"/>
      <c r="T80" s="67"/>
      <c r="U80" s="67"/>
      <c r="V80" s="67"/>
      <c r="W80" s="67"/>
      <c r="X80" s="67" t="str">
        <f>COUNTIFS(X6:X77,"&gt;=60 ",X6:X77,"&lt; 75" )</f>
        <v>9</v>
      </c>
      <c r="Y80" s="67"/>
      <c r="Z80" s="67"/>
      <c r="AA80" s="67"/>
      <c r="AB80" s="67"/>
      <c r="AC80" s="67"/>
      <c r="AD80" s="67"/>
      <c r="AE80" s="67"/>
      <c r="AF80" s="67" t="str">
        <f>COUNTIFS(AF6:AF77,"&gt;=60 ",AF6:AF77,"&lt; 75" )</f>
        <v>23</v>
      </c>
      <c r="AG80" s="160"/>
    </row>
    <row r="81" ht="19.5" customHeight="1">
      <c r="D81" s="166" t="s">
        <v>197</v>
      </c>
      <c r="E81" s="67"/>
      <c r="F81" s="67"/>
      <c r="G81" s="67" t="str">
        <f>COUNTIFS(G6:G77,"&gt;=50 ",G6:G77,"&lt; 60" )</f>
        <v>6</v>
      </c>
      <c r="H81" s="67"/>
      <c r="I81" s="67"/>
      <c r="J81" s="67"/>
      <c r="K81" s="67"/>
      <c r="L81" s="67" t="str">
        <f>COUNTIFS(L6:L77,"&gt;=50 ",L6:L77,"&lt; 60" )</f>
        <v>10</v>
      </c>
      <c r="M81" s="67"/>
      <c r="N81" s="67"/>
      <c r="O81" s="67"/>
      <c r="P81" s="67"/>
      <c r="Q81" s="67"/>
      <c r="R81" s="67" t="str">
        <f>COUNTIFS(R6:R77,"&gt;=50 ",R6:R77,"&lt; 60" )</f>
        <v>9</v>
      </c>
      <c r="S81" s="67"/>
      <c r="T81" s="67"/>
      <c r="U81" s="67"/>
      <c r="V81" s="67"/>
      <c r="W81" s="67"/>
      <c r="X81" s="67" t="str">
        <f>COUNTIFS(X6:X77,"&gt;=50 ",X6:X77,"&lt; 60" )</f>
        <v>14</v>
      </c>
      <c r="Y81" s="67"/>
      <c r="Z81" s="67"/>
      <c r="AA81" s="67"/>
      <c r="AB81" s="67"/>
      <c r="AC81" s="67"/>
      <c r="AD81" s="67"/>
      <c r="AE81" s="67"/>
      <c r="AF81" s="67" t="str">
        <f>COUNTIFS(AF6:AF77,"&gt;=50 ",AF6:AF77,"&lt; 60" )</f>
        <v>7</v>
      </c>
      <c r="AG81" s="160"/>
    </row>
    <row r="82" ht="19.5" customHeight="1">
      <c r="D82" s="166" t="s">
        <v>198</v>
      </c>
      <c r="E82" s="67"/>
      <c r="F82" s="111"/>
      <c r="G82" s="111" t="str">
        <f>COUNTIFS(G6:G77,"&gt;=40 ",G6:G77,"&lt; 50" )</f>
        <v>5</v>
      </c>
      <c r="H82" s="111"/>
      <c r="I82" s="111"/>
      <c r="J82" s="111"/>
      <c r="K82" s="111"/>
      <c r="L82" s="111" t="str">
        <f>COUNTIFS(L6:L77,"&gt;=40 ",L6:L77,"&lt; 50" )</f>
        <v>12</v>
      </c>
      <c r="M82" s="167" t="s">
        <v>199</v>
      </c>
      <c r="N82" s="111"/>
      <c r="O82" s="111"/>
      <c r="P82" s="111"/>
      <c r="Q82" s="111"/>
      <c r="R82" s="111" t="str">
        <f>COUNTIFS(R6:R77,"&gt;=40 ",R6:R77,"&lt; 50" )</f>
        <v>19</v>
      </c>
      <c r="S82" s="167" t="s">
        <v>200</v>
      </c>
      <c r="T82" s="111"/>
      <c r="U82" s="111"/>
      <c r="V82" s="111"/>
      <c r="W82" s="111"/>
      <c r="X82" s="111" t="str">
        <f>COUNTIFS(X6:X77,"&gt;=40 ",X6:X77,"&lt; 50" )</f>
        <v>20</v>
      </c>
      <c r="Y82" s="167" t="s">
        <v>201</v>
      </c>
      <c r="Z82" s="111"/>
      <c r="AA82" s="111"/>
      <c r="AB82" s="111"/>
      <c r="AC82" s="111"/>
      <c r="AD82" s="111"/>
      <c r="AE82" s="111"/>
      <c r="AF82" s="111" t="str">
        <f>COUNTIFS(AF6:AF77,"&gt;=40 ",AF6:AF77,"&lt; 50" )</f>
        <v>1</v>
      </c>
      <c r="AG82" s="160"/>
    </row>
    <row r="83" ht="19.5" customHeight="1">
      <c r="D83" s="168" t="s">
        <v>202</v>
      </c>
      <c r="E83" s="155"/>
      <c r="F83" s="155"/>
      <c r="G83" s="155" t="str">
        <f>COUNTIFS(G6:G77,"&lt; 40" )</f>
        <v>9</v>
      </c>
      <c r="H83" s="169" t="s">
        <v>203</v>
      </c>
      <c r="I83" s="155"/>
      <c r="J83" s="155"/>
      <c r="K83" s="155"/>
      <c r="L83" s="155" t="str">
        <f>COUNTIFS(L6:L77,"&lt; 40" )</f>
        <v>22</v>
      </c>
      <c r="M83" s="169" t="s">
        <v>204</v>
      </c>
      <c r="N83" s="155"/>
      <c r="O83" s="155"/>
      <c r="P83" s="155"/>
      <c r="Q83" s="155"/>
      <c r="R83" s="155" t="str">
        <f>COUNTIFS(R6:R77,"&lt; 40" )</f>
        <v>19</v>
      </c>
      <c r="S83" s="169" t="s">
        <v>205</v>
      </c>
      <c r="T83" s="155"/>
      <c r="U83" s="155"/>
      <c r="V83" s="155"/>
      <c r="W83" s="155"/>
      <c r="X83" s="155" t="str">
        <f>COUNTIFS(X6:X77,"&lt; 40" )</f>
        <v>14</v>
      </c>
      <c r="Y83" s="169" t="s">
        <v>206</v>
      </c>
      <c r="Z83" s="155"/>
      <c r="AA83" s="155"/>
      <c r="AB83" s="155"/>
      <c r="AC83" s="155"/>
      <c r="AD83" s="155"/>
      <c r="AE83" s="155"/>
      <c r="AF83" s="155" t="str">
        <f>COUNTIFS(AF6:AF77,"  " )</f>
        <v>0</v>
      </c>
      <c r="AG83" s="160"/>
    </row>
    <row r="84" ht="19.5" customHeight="1">
      <c r="D84" s="159"/>
      <c r="E84" s="160"/>
      <c r="F84" s="160"/>
      <c r="G84" s="160"/>
      <c r="H84" s="160"/>
      <c r="I84" s="160"/>
      <c r="J84" s="161"/>
      <c r="K84" s="161"/>
      <c r="L84" s="161"/>
      <c r="M84" s="161"/>
      <c r="N84" s="161"/>
      <c r="O84" s="161"/>
      <c r="P84" s="162"/>
      <c r="Q84" s="162"/>
      <c r="R84" s="162"/>
      <c r="S84" s="162"/>
      <c r="T84" s="162"/>
      <c r="U84" s="162"/>
      <c r="V84" s="161"/>
      <c r="W84" s="161"/>
      <c r="X84" s="161"/>
      <c r="Y84" s="161"/>
      <c r="Z84" s="161"/>
      <c r="AA84" s="161"/>
      <c r="AB84" s="163"/>
      <c r="AC84" s="163"/>
      <c r="AD84" s="163"/>
      <c r="AE84" s="160"/>
      <c r="AF84" s="160"/>
      <c r="AG84" s="160"/>
    </row>
    <row r="85" ht="19.5" customHeight="1">
      <c r="D85" s="159"/>
      <c r="E85" s="160"/>
      <c r="F85" s="160"/>
      <c r="G85" s="160"/>
      <c r="H85" s="160"/>
      <c r="I85" s="160"/>
      <c r="J85" s="161"/>
      <c r="K85" s="161"/>
      <c r="L85" s="161"/>
      <c r="M85" s="161"/>
      <c r="N85" s="161"/>
      <c r="O85" s="161"/>
      <c r="P85" s="162"/>
      <c r="Q85" s="162"/>
      <c r="R85" s="162"/>
      <c r="S85" s="162"/>
      <c r="T85" s="162"/>
      <c r="U85" s="162"/>
      <c r="V85" s="161"/>
      <c r="W85" s="161"/>
      <c r="X85" s="161"/>
      <c r="Y85" s="161"/>
      <c r="Z85" s="161"/>
      <c r="AA85" s="161"/>
      <c r="AB85" s="163"/>
      <c r="AC85" s="163"/>
      <c r="AD85" s="163"/>
      <c r="AE85" s="160"/>
      <c r="AF85" s="160"/>
      <c r="AG85" s="160"/>
    </row>
    <row r="86" ht="19.5" customHeight="1">
      <c r="D86" s="159"/>
      <c r="E86" s="160"/>
      <c r="F86" s="160"/>
      <c r="G86" s="160"/>
      <c r="H86" s="160"/>
      <c r="I86" s="160"/>
      <c r="J86" s="161"/>
      <c r="K86" s="161"/>
      <c r="L86" s="161"/>
      <c r="M86" s="161"/>
      <c r="N86" s="161"/>
      <c r="O86" s="161"/>
      <c r="P86" s="162"/>
      <c r="Q86" s="162"/>
      <c r="R86" s="162"/>
      <c r="S86" s="162"/>
      <c r="T86" s="162"/>
      <c r="U86" s="162"/>
      <c r="V86" s="161"/>
      <c r="W86" s="161"/>
      <c r="X86" s="161"/>
      <c r="Y86" s="161"/>
      <c r="Z86" s="161"/>
      <c r="AA86" s="161"/>
      <c r="AB86" s="163"/>
      <c r="AC86" s="163"/>
      <c r="AD86" s="163"/>
      <c r="AE86" s="160"/>
      <c r="AF86" s="160"/>
      <c r="AG86" s="160"/>
    </row>
    <row r="87" ht="12.75" customHeight="1">
      <c r="D87" s="159"/>
      <c r="E87" s="160"/>
      <c r="F87" s="160"/>
      <c r="G87" s="160"/>
      <c r="H87" s="160"/>
      <c r="I87" s="160"/>
      <c r="J87" s="161"/>
      <c r="K87" s="161"/>
      <c r="L87" s="161"/>
      <c r="M87" s="161"/>
      <c r="N87" s="161"/>
      <c r="O87" s="161"/>
      <c r="P87" s="162"/>
      <c r="Q87" s="162"/>
      <c r="R87" s="162"/>
      <c r="S87" s="162"/>
      <c r="T87" s="162"/>
      <c r="U87" s="162"/>
      <c r="V87" s="161"/>
      <c r="W87" s="161"/>
      <c r="X87" s="161"/>
      <c r="Y87" s="161"/>
      <c r="Z87" s="161"/>
      <c r="AA87" s="161"/>
      <c r="AB87" s="163"/>
      <c r="AC87" s="163"/>
      <c r="AD87" s="163"/>
      <c r="AE87" s="160"/>
      <c r="AF87" s="160"/>
      <c r="AG87" s="160"/>
    </row>
    <row r="88" ht="12.75" customHeight="1">
      <c r="D88" s="159"/>
      <c r="E88" s="160"/>
      <c r="F88" s="160"/>
      <c r="G88" s="160"/>
      <c r="H88" s="160"/>
      <c r="I88" s="160"/>
      <c r="J88" s="161"/>
      <c r="K88" s="161"/>
      <c r="L88" s="161"/>
      <c r="M88" s="161"/>
      <c r="N88" s="161"/>
      <c r="O88" s="161"/>
      <c r="P88" s="162"/>
      <c r="Q88" s="162"/>
      <c r="R88" s="162"/>
      <c r="S88" s="162"/>
      <c r="T88" s="162"/>
      <c r="U88" s="162"/>
      <c r="V88" s="161"/>
      <c r="W88" s="161"/>
      <c r="X88" s="161"/>
      <c r="Y88" s="161"/>
      <c r="Z88" s="161"/>
      <c r="AA88" s="161"/>
      <c r="AB88" s="163"/>
      <c r="AC88" s="163"/>
      <c r="AD88" s="163"/>
      <c r="AE88" s="160"/>
      <c r="AF88" s="160"/>
      <c r="AG88" s="160"/>
    </row>
    <row r="89" ht="12.75" customHeight="1">
      <c r="D89" s="159"/>
      <c r="E89" s="160"/>
      <c r="F89" s="160"/>
      <c r="G89" s="160"/>
      <c r="H89" s="160"/>
      <c r="I89" s="160"/>
      <c r="J89" s="161"/>
      <c r="K89" s="161"/>
      <c r="L89" s="161"/>
      <c r="M89" s="161"/>
      <c r="N89" s="161"/>
      <c r="O89" s="161"/>
      <c r="P89" s="162"/>
      <c r="Q89" s="162"/>
      <c r="R89" s="162"/>
      <c r="S89" s="162"/>
      <c r="T89" s="162"/>
      <c r="U89" s="162"/>
      <c r="V89" s="161"/>
      <c r="W89" s="161"/>
      <c r="X89" s="161"/>
      <c r="Y89" s="161"/>
      <c r="Z89" s="161"/>
      <c r="AA89" s="161"/>
      <c r="AB89" s="163"/>
      <c r="AC89" s="163"/>
      <c r="AD89" s="163"/>
      <c r="AE89" s="160"/>
      <c r="AF89" s="160"/>
      <c r="AG89" s="160"/>
    </row>
    <row r="90" ht="12.75" customHeight="1">
      <c r="D90" s="159"/>
      <c r="E90" s="160"/>
      <c r="F90" s="160"/>
      <c r="G90" s="160"/>
      <c r="H90" s="160"/>
      <c r="I90" s="160"/>
      <c r="J90" s="161"/>
      <c r="K90" s="161"/>
      <c r="L90" s="161"/>
      <c r="M90" s="161"/>
      <c r="N90" s="161"/>
      <c r="O90" s="161"/>
      <c r="P90" s="162"/>
      <c r="Q90" s="162"/>
      <c r="R90" s="162"/>
      <c r="S90" s="162"/>
      <c r="T90" s="162"/>
      <c r="U90" s="162"/>
      <c r="V90" s="161"/>
      <c r="W90" s="161"/>
      <c r="X90" s="161"/>
      <c r="Y90" s="161"/>
      <c r="Z90" s="161"/>
      <c r="AA90" s="161"/>
      <c r="AB90" s="163"/>
      <c r="AC90" s="163"/>
      <c r="AD90" s="163"/>
      <c r="AE90" s="160"/>
      <c r="AF90" s="160"/>
      <c r="AG90" s="160"/>
    </row>
    <row r="91" ht="12.75" customHeight="1">
      <c r="D91" s="159"/>
      <c r="E91" s="160"/>
      <c r="F91" s="160"/>
      <c r="G91" s="160"/>
      <c r="H91" s="160"/>
      <c r="I91" s="160"/>
      <c r="J91" s="161"/>
      <c r="K91" s="161"/>
      <c r="L91" s="161"/>
      <c r="M91" s="161"/>
      <c r="N91" s="161"/>
      <c r="O91" s="161"/>
      <c r="P91" s="162"/>
      <c r="Q91" s="162"/>
      <c r="R91" s="162"/>
      <c r="S91" s="162"/>
      <c r="T91" s="162"/>
      <c r="U91" s="162"/>
      <c r="V91" s="161"/>
      <c r="W91" s="161"/>
      <c r="X91" s="161"/>
      <c r="Y91" s="161"/>
      <c r="Z91" s="161"/>
      <c r="AA91" s="161"/>
      <c r="AB91" s="163"/>
      <c r="AC91" s="163"/>
      <c r="AD91" s="163"/>
      <c r="AE91" s="160"/>
      <c r="AF91" s="160"/>
      <c r="AG91" s="160"/>
    </row>
    <row r="92" ht="12.75" customHeight="1">
      <c r="D92" s="159"/>
      <c r="E92" s="160"/>
      <c r="F92" s="160"/>
      <c r="G92" s="160"/>
      <c r="H92" s="160"/>
      <c r="I92" s="160"/>
      <c r="J92" s="161"/>
      <c r="K92" s="161"/>
      <c r="L92" s="161"/>
      <c r="M92" s="161"/>
      <c r="N92" s="161"/>
      <c r="O92" s="161"/>
      <c r="P92" s="162"/>
      <c r="Q92" s="162"/>
      <c r="R92" s="162"/>
      <c r="S92" s="162"/>
      <c r="T92" s="162"/>
      <c r="U92" s="162"/>
      <c r="V92" s="161"/>
      <c r="W92" s="161"/>
      <c r="X92" s="161"/>
      <c r="Y92" s="161"/>
      <c r="Z92" s="161"/>
      <c r="AA92" s="161"/>
      <c r="AB92" s="163"/>
      <c r="AC92" s="163"/>
      <c r="AD92" s="163"/>
      <c r="AE92" s="160"/>
      <c r="AF92" s="160"/>
      <c r="AG92" s="160"/>
    </row>
    <row r="93" ht="12.75" customHeight="1">
      <c r="D93" s="159"/>
      <c r="E93" s="160"/>
      <c r="F93" s="160"/>
      <c r="G93" s="160"/>
      <c r="H93" s="160"/>
      <c r="I93" s="160"/>
      <c r="J93" s="161"/>
      <c r="K93" s="161"/>
      <c r="L93" s="161"/>
      <c r="M93" s="161"/>
      <c r="N93" s="161"/>
      <c r="O93" s="161"/>
      <c r="P93" s="162"/>
      <c r="Q93" s="162"/>
      <c r="R93" s="162"/>
      <c r="S93" s="162"/>
      <c r="T93" s="162"/>
      <c r="U93" s="162"/>
      <c r="V93" s="161"/>
      <c r="W93" s="161"/>
      <c r="X93" s="161"/>
      <c r="Y93" s="161"/>
      <c r="Z93" s="161"/>
      <c r="AA93" s="161"/>
      <c r="AB93" s="163"/>
      <c r="AC93" s="163"/>
      <c r="AD93" s="163"/>
      <c r="AE93" s="160"/>
      <c r="AF93" s="160"/>
      <c r="AG93" s="160"/>
    </row>
    <row r="94" ht="12.75" customHeight="1">
      <c r="D94" s="159"/>
      <c r="E94" s="160"/>
      <c r="F94" s="160"/>
      <c r="G94" s="160"/>
      <c r="H94" s="160"/>
      <c r="I94" s="160"/>
      <c r="J94" s="161"/>
      <c r="K94" s="161"/>
      <c r="L94" s="161"/>
      <c r="M94" s="161"/>
      <c r="N94" s="161"/>
      <c r="O94" s="161"/>
      <c r="P94" s="162"/>
      <c r="Q94" s="162"/>
      <c r="R94" s="162"/>
      <c r="S94" s="162"/>
      <c r="T94" s="162"/>
      <c r="U94" s="162"/>
      <c r="V94" s="161"/>
      <c r="W94" s="161"/>
      <c r="X94" s="161"/>
      <c r="Y94" s="161"/>
      <c r="Z94" s="161"/>
      <c r="AA94" s="161"/>
      <c r="AB94" s="163"/>
      <c r="AC94" s="163"/>
      <c r="AD94" s="163"/>
      <c r="AE94" s="160"/>
      <c r="AF94" s="160"/>
      <c r="AG94" s="160"/>
    </row>
    <row r="95" ht="12.75" customHeight="1">
      <c r="D95" s="159"/>
      <c r="E95" s="160"/>
      <c r="F95" s="160"/>
      <c r="G95" s="160"/>
      <c r="H95" s="160"/>
      <c r="I95" s="160"/>
      <c r="J95" s="161"/>
      <c r="K95" s="161"/>
      <c r="L95" s="161"/>
      <c r="M95" s="161"/>
      <c r="N95" s="161"/>
      <c r="O95" s="161"/>
      <c r="P95" s="162"/>
      <c r="Q95" s="162"/>
      <c r="R95" s="162"/>
      <c r="S95" s="162"/>
      <c r="T95" s="162"/>
      <c r="U95" s="162"/>
      <c r="V95" s="161"/>
      <c r="W95" s="161"/>
      <c r="X95" s="161"/>
      <c r="Y95" s="161"/>
      <c r="Z95" s="161"/>
      <c r="AA95" s="161"/>
      <c r="AB95" s="163"/>
      <c r="AC95" s="163"/>
      <c r="AD95" s="163"/>
      <c r="AE95" s="160"/>
      <c r="AF95" s="160"/>
      <c r="AG95" s="160"/>
    </row>
    <row r="96" ht="15.75" customHeight="1">
      <c r="G96" s="170"/>
      <c r="I96" s="170"/>
      <c r="M96" s="170"/>
      <c r="N96" s="170"/>
      <c r="R96" s="170"/>
      <c r="S96" s="170"/>
      <c r="W96" s="170"/>
      <c r="Z96" s="170"/>
      <c r="AC96" s="170"/>
    </row>
    <row r="97" ht="15.75" customHeight="1">
      <c r="G97" s="170"/>
      <c r="I97" s="170"/>
      <c r="M97" s="170"/>
      <c r="N97" s="170"/>
      <c r="R97" s="170"/>
      <c r="S97" s="170"/>
      <c r="W97" s="170"/>
      <c r="Z97" s="170"/>
      <c r="AC97" s="170"/>
    </row>
    <row r="98" ht="15.75" customHeight="1">
      <c r="G98" s="170"/>
      <c r="I98" s="170"/>
      <c r="M98" s="170"/>
      <c r="N98" s="170"/>
      <c r="R98" s="170"/>
      <c r="S98" s="170"/>
      <c r="W98" s="170"/>
      <c r="Z98" s="170"/>
      <c r="AC98" s="170"/>
    </row>
    <row r="99" ht="15.75" customHeight="1">
      <c r="G99" s="170"/>
      <c r="I99" s="170"/>
      <c r="M99" s="170"/>
      <c r="N99" s="170"/>
      <c r="R99" s="170"/>
      <c r="S99" s="170"/>
      <c r="W99" s="170"/>
      <c r="Z99" s="170"/>
      <c r="AC99" s="170"/>
    </row>
    <row r="100" ht="15.75" customHeight="1">
      <c r="G100" s="170"/>
      <c r="I100" s="170"/>
      <c r="M100" s="170"/>
      <c r="N100" s="170"/>
      <c r="R100" s="170"/>
      <c r="S100" s="170"/>
      <c r="W100" s="170"/>
      <c r="Z100" s="170"/>
      <c r="AC100" s="170"/>
    </row>
  </sheetData>
  <mergeCells count="27">
    <mergeCell ref="AB3:AC3"/>
    <mergeCell ref="J3:O3"/>
    <mergeCell ref="V3:AA3"/>
    <mergeCell ref="P3:U3"/>
    <mergeCell ref="A2:A5"/>
    <mergeCell ref="B2:B5"/>
    <mergeCell ref="J4:L4"/>
    <mergeCell ref="M4:N4"/>
    <mergeCell ref="AA4:AA5"/>
    <mergeCell ref="O4:O5"/>
    <mergeCell ref="U4:U5"/>
    <mergeCell ref="AC4:AC5"/>
    <mergeCell ref="AD4:AD5"/>
    <mergeCell ref="AF2:AF4"/>
    <mergeCell ref="AG2:AG4"/>
    <mergeCell ref="A1:AG1"/>
    <mergeCell ref="AE2:AE4"/>
    <mergeCell ref="C2:C5"/>
    <mergeCell ref="P4:R4"/>
    <mergeCell ref="S4:T4"/>
    <mergeCell ref="E2:AD2"/>
    <mergeCell ref="D2:D5"/>
    <mergeCell ref="H4:I4"/>
    <mergeCell ref="E3:I3"/>
    <mergeCell ref="V4:X4"/>
    <mergeCell ref="E4:G4"/>
    <mergeCell ref="Y4:Z4"/>
  </mergeCells>
  <hyperlinks>
    <hyperlink r:id="rId1" ref="W11"/>
    <hyperlink r:id="rId2" ref="K17"/>
    <hyperlink r:id="rId3" ref="K19"/>
    <hyperlink r:id="rId4" ref="W19"/>
    <hyperlink r:id="rId5" ref="Q25"/>
    <hyperlink r:id="rId6" ref="Q28"/>
    <hyperlink r:id="rId7" ref="K31"/>
    <hyperlink r:id="rId8" ref="K32"/>
    <hyperlink r:id="rId9" ref="K44"/>
    <hyperlink r:id="rId10" ref="W45"/>
  </hyperlinks>
  <printOptions/>
  <pageMargins bottom="0.75" footer="0.0" header="0.0" left="0.7" right="0.7" top="0.75"/>
  <pageSetup orientation="portrait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HOME</Compan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Format A</vt:lpstr>
      <vt:lpstr>Format B</vt:lpstr>
      <vt:lpstr>Topper</vt:lpstr>
      <vt:lpstr>subject wise</vt:lpstr>
    </vt:vector>
  </TitlesOfParts>
  <LinksUpToDate>false</LinksUpToDate>
  <SharedDoc>false</SharedDoc>
  <HyperlinksChanged>false</HyperlinksChanged>
  <Application>Microsoft Excel</Application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2008-02-29T06:38:03Z</dcterms:created>
  <dc:creator>jkp</dc:creator>
  <cp:lastModifiedBy>ADMIN</cp:lastModifiedBy>
  <cp:lastPrinted>2018-06-25T04:56:19Z</cp:lastPrinted>
  <dcterms:modified xsi:type="dcterms:W3CDTF">2026-01-02T14:54:02Z</dcterms:modified>
</cp:coreProperties>
</file>